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8042a2d924d9f3/Desktop/upGrad/Excel/"/>
    </mc:Choice>
  </mc:AlternateContent>
  <xr:revisionPtr revIDLastSave="63" documentId="8_{D3E28DC8-3A57-4F99-B54A-1032A73C3602}" xr6:coauthVersionLast="47" xr6:coauthVersionMax="47" xr10:uidLastSave="{2058301E-9517-4FD5-BDFF-E8E255359CD2}"/>
  <bookViews>
    <workbookView xWindow="-108" yWindow="-108" windowWidth="23256" windowHeight="12456" activeTab="1" xr2:uid="{7CB64204-4DBC-41EA-A1EA-4E96F9BC328F}"/>
  </bookViews>
  <sheets>
    <sheet name="Scenario Summary" sheetId="2" r:id="rId1"/>
    <sheet name="Data Tabl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4" i="1" l="1"/>
  <c r="J34" i="1"/>
  <c r="J28" i="1"/>
  <c r="F5" i="1"/>
  <c r="I10" i="1" l="1"/>
  <c r="M10" i="1"/>
</calcChain>
</file>

<file path=xl/sharedStrings.xml><?xml version="1.0" encoding="utf-8"?>
<sst xmlns="http://schemas.openxmlformats.org/spreadsheetml/2006/main" count="40" uniqueCount="38">
  <si>
    <t xml:space="preserve">Sales </t>
  </si>
  <si>
    <t>Price</t>
  </si>
  <si>
    <t>Revenue</t>
  </si>
  <si>
    <t>Price = 10 Sales varies from 50 to 150 Revenue = Sales × Price Create column list: Use Data Table</t>
  </si>
  <si>
    <t>$F$3</t>
  </si>
  <si>
    <t>$I$11</t>
  </si>
  <si>
    <t>$I$12</t>
  </si>
  <si>
    <t>$I$13</t>
  </si>
  <si>
    <t>$I$14</t>
  </si>
  <si>
    <t>$I$15</t>
  </si>
  <si>
    <t>$I$16</t>
  </si>
  <si>
    <t>$I$17</t>
  </si>
  <si>
    <t>$I$18</t>
  </si>
  <si>
    <t>$I$19</t>
  </si>
  <si>
    <t>$I$20</t>
  </si>
  <si>
    <t>$I$21</t>
  </si>
  <si>
    <t>Best</t>
  </si>
  <si>
    <t>Created by MANOJ DHAGE on 2/24/2026</t>
  </si>
  <si>
    <t>Worst</t>
  </si>
  <si>
    <t>Scenario Summary</t>
  </si>
  <si>
    <t>Changing Cells:</t>
  </si>
  <si>
    <t>Current Values:</t>
  </si>
  <si>
    <t>Result Cells:</t>
  </si>
  <si>
    <t>Notes: Current Values column represents values of changing cells at</t>
  </si>
  <si>
    <t>time Scenario Summary Report was created.  Changing cells for each</t>
  </si>
  <si>
    <t>scenario are highlighted in grey.</t>
  </si>
  <si>
    <t>Sales = 100000 Cost = 60000 Profit = 40000 create 3 scenarios:</t>
  </si>
  <si>
    <t>Sales</t>
  </si>
  <si>
    <t>Cost</t>
  </si>
  <si>
    <t>Profit</t>
  </si>
  <si>
    <t>A company sells a product at ₹10. They want Revenue = ₹5,000. How many units must be sold?</t>
  </si>
  <si>
    <t>price</t>
  </si>
  <si>
    <t>units sold</t>
  </si>
  <si>
    <t>A customer can afford maximum EMI = ₹20,000 Interest Rate = 10% Tenure = 5 years What is the maximum loan amount customer can take?</t>
  </si>
  <si>
    <t>IR</t>
  </si>
  <si>
    <t>TIME</t>
  </si>
  <si>
    <t>principal</t>
  </si>
  <si>
    <t>Max EMI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</si>
</sst>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 [$₹-439]* #,##0.00_ ;_ [$₹-439]* \-#,##0.00_ ;_ [$₹-439]* &quot;-&quot;??_ ;_ @_ 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3"/>
      <name val="Segoe UI"/>
      <family val="2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0"/>
      <color theme="3"/>
      <name val="Segoe UI"/>
      <family val="2"/>
    </font>
    <font>
      <sz val="10"/>
      <color theme="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0" xfId="0" applyFill="1" applyBorder="1" applyAlignment="1"/>
    <xf numFmtId="0" fontId="0" fillId="0" borderId="17" xfId="0" applyFill="1" applyBorder="1" applyAlignment="1"/>
    <xf numFmtId="0" fontId="3" fillId="2" borderId="18" xfId="0" applyFont="1" applyFill="1" applyBorder="1" applyAlignment="1">
      <alignment horizontal="left"/>
    </xf>
    <xf numFmtId="0" fontId="3" fillId="2" borderId="16" xfId="0" applyFont="1" applyFill="1" applyBorder="1" applyAlignment="1">
      <alignment horizontal="left"/>
    </xf>
    <xf numFmtId="0" fontId="0" fillId="0" borderId="19" xfId="0" applyFill="1" applyBorder="1" applyAlignment="1"/>
    <xf numFmtId="0" fontId="4" fillId="3" borderId="0" xfId="0" applyFont="1" applyFill="1" applyBorder="1" applyAlignment="1">
      <alignment horizontal="left"/>
    </xf>
    <xf numFmtId="0" fontId="5" fillId="3" borderId="19" xfId="0" applyFont="1" applyFill="1" applyBorder="1" applyAlignment="1">
      <alignment horizontal="left"/>
    </xf>
    <xf numFmtId="0" fontId="4" fillId="3" borderId="17" xfId="0" applyFont="1" applyFill="1" applyBorder="1" applyAlignment="1">
      <alignment horizontal="left"/>
    </xf>
    <xf numFmtId="0" fontId="6" fillId="2" borderId="16" xfId="0" applyFont="1" applyFill="1" applyBorder="1" applyAlignment="1">
      <alignment horizontal="right"/>
    </xf>
    <xf numFmtId="0" fontId="6" fillId="2" borderId="18" xfId="0" applyFont="1" applyFill="1" applyBorder="1" applyAlignment="1">
      <alignment horizontal="right"/>
    </xf>
    <xf numFmtId="0" fontId="0" fillId="4" borderId="0" xfId="0" applyFill="1" applyBorder="1" applyAlignment="1"/>
    <xf numFmtId="0" fontId="7" fillId="0" borderId="0" xfId="0" applyFont="1" applyFill="1" applyBorder="1" applyAlignment="1">
      <alignment vertical="top" wrapText="1"/>
    </xf>
    <xf numFmtId="0" fontId="8" fillId="0" borderId="0" xfId="0" applyFont="1"/>
    <xf numFmtId="0" fontId="9" fillId="0" borderId="0" xfId="0" applyFont="1"/>
    <xf numFmtId="9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BB74-D833-4F5C-9524-7AC71C982967}">
  <sheetPr>
    <outlinePr summaryBelow="0"/>
  </sheetPr>
  <dimension ref="B1:F21"/>
  <sheetViews>
    <sheetView showGridLines="0" workbookViewId="0">
      <selection activeCell="G16" sqref="G16"/>
    </sheetView>
  </sheetViews>
  <sheetFormatPr defaultRowHeight="14.4" outlineLevelRow="1" outlineLevelCol="1" x14ac:dyDescent="0.3"/>
  <cols>
    <col min="3" max="3" width="5.5546875" bestFit="1" customWidth="1"/>
    <col min="4" max="6" width="12.6640625" bestFit="1" customWidth="1" outlineLevel="1"/>
  </cols>
  <sheetData>
    <row r="1" spans="2:6" ht="15" thickBot="1" x14ac:dyDescent="0.35"/>
    <row r="2" spans="2:6" ht="15.6" x14ac:dyDescent="0.3">
      <c r="B2" s="20" t="s">
        <v>19</v>
      </c>
      <c r="C2" s="20"/>
      <c r="D2" s="25"/>
      <c r="E2" s="25"/>
      <c r="F2" s="25"/>
    </row>
    <row r="3" spans="2:6" ht="15.6" collapsed="1" x14ac:dyDescent="0.3">
      <c r="B3" s="19"/>
      <c r="C3" s="19"/>
      <c r="D3" s="26" t="s">
        <v>21</v>
      </c>
      <c r="E3" s="26" t="s">
        <v>16</v>
      </c>
      <c r="F3" s="26" t="s">
        <v>18</v>
      </c>
    </row>
    <row r="4" spans="2:6" ht="32.4" hidden="1" outlineLevel="1" x14ac:dyDescent="0.3">
      <c r="B4" s="22"/>
      <c r="C4" s="22"/>
      <c r="D4" s="17"/>
      <c r="E4" s="28" t="s">
        <v>17</v>
      </c>
      <c r="F4" s="28" t="s">
        <v>17</v>
      </c>
    </row>
    <row r="5" spans="2:6" x14ac:dyDescent="0.3">
      <c r="B5" s="23" t="s">
        <v>20</v>
      </c>
      <c r="C5" s="23"/>
      <c r="D5" s="21"/>
      <c r="E5" s="21"/>
      <c r="F5" s="21"/>
    </row>
    <row r="6" spans="2:6" outlineLevel="1" x14ac:dyDescent="0.3">
      <c r="B6" s="22"/>
      <c r="C6" s="22" t="s">
        <v>4</v>
      </c>
      <c r="D6" s="17">
        <v>150</v>
      </c>
      <c r="E6" s="27">
        <v>150</v>
      </c>
      <c r="F6" s="27">
        <v>50</v>
      </c>
    </row>
    <row r="7" spans="2:6" x14ac:dyDescent="0.3">
      <c r="B7" s="23" t="s">
        <v>22</v>
      </c>
      <c r="C7" s="23"/>
      <c r="D7" s="21"/>
      <c r="E7" s="21"/>
      <c r="F7" s="21"/>
    </row>
    <row r="8" spans="2:6" outlineLevel="1" x14ac:dyDescent="0.3">
      <c r="B8" s="22"/>
      <c r="C8" s="22" t="s">
        <v>5</v>
      </c>
      <c r="D8" s="17">
        <v>500</v>
      </c>
      <c r="E8" s="17">
        <v>500</v>
      </c>
      <c r="F8" s="17">
        <v>500</v>
      </c>
    </row>
    <row r="9" spans="2:6" outlineLevel="1" x14ac:dyDescent="0.3">
      <c r="B9" s="22"/>
      <c r="C9" s="22" t="s">
        <v>6</v>
      </c>
      <c r="D9" s="17">
        <v>600</v>
      </c>
      <c r="E9" s="17">
        <v>600</v>
      </c>
      <c r="F9" s="17">
        <v>600</v>
      </c>
    </row>
    <row r="10" spans="2:6" outlineLevel="1" x14ac:dyDescent="0.3">
      <c r="B10" s="22"/>
      <c r="C10" s="22" t="s">
        <v>7</v>
      </c>
      <c r="D10" s="17">
        <v>700</v>
      </c>
      <c r="E10" s="17">
        <v>700</v>
      </c>
      <c r="F10" s="17">
        <v>700</v>
      </c>
    </row>
    <row r="11" spans="2:6" outlineLevel="1" x14ac:dyDescent="0.3">
      <c r="B11" s="22"/>
      <c r="C11" s="22" t="s">
        <v>8</v>
      </c>
      <c r="D11" s="17">
        <v>800</v>
      </c>
      <c r="E11" s="17">
        <v>800</v>
      </c>
      <c r="F11" s="17">
        <v>800</v>
      </c>
    </row>
    <row r="12" spans="2:6" outlineLevel="1" x14ac:dyDescent="0.3">
      <c r="B12" s="22"/>
      <c r="C12" s="22" t="s">
        <v>9</v>
      </c>
      <c r="D12" s="17">
        <v>900</v>
      </c>
      <c r="E12" s="17">
        <v>900</v>
      </c>
      <c r="F12" s="17">
        <v>900</v>
      </c>
    </row>
    <row r="13" spans="2:6" outlineLevel="1" x14ac:dyDescent="0.3">
      <c r="B13" s="22"/>
      <c r="C13" s="22" t="s">
        <v>10</v>
      </c>
      <c r="D13" s="17">
        <v>1000</v>
      </c>
      <c r="E13" s="17">
        <v>1000</v>
      </c>
      <c r="F13" s="17">
        <v>1000</v>
      </c>
    </row>
    <row r="14" spans="2:6" outlineLevel="1" x14ac:dyDescent="0.3">
      <c r="B14" s="22"/>
      <c r="C14" s="22" t="s">
        <v>11</v>
      </c>
      <c r="D14" s="17">
        <v>1100</v>
      </c>
      <c r="E14" s="17">
        <v>1100</v>
      </c>
      <c r="F14" s="17">
        <v>1100</v>
      </c>
    </row>
    <row r="15" spans="2:6" outlineLevel="1" x14ac:dyDescent="0.3">
      <c r="B15" s="22"/>
      <c r="C15" s="22" t="s">
        <v>12</v>
      </c>
      <c r="D15" s="17">
        <v>1200</v>
      </c>
      <c r="E15" s="17">
        <v>1200</v>
      </c>
      <c r="F15" s="17">
        <v>1200</v>
      </c>
    </row>
    <row r="16" spans="2:6" outlineLevel="1" x14ac:dyDescent="0.3">
      <c r="B16" s="22"/>
      <c r="C16" s="22" t="s">
        <v>13</v>
      </c>
      <c r="D16" s="17">
        <v>1300</v>
      </c>
      <c r="E16" s="17">
        <v>1300</v>
      </c>
      <c r="F16" s="17">
        <v>1300</v>
      </c>
    </row>
    <row r="17" spans="2:6" outlineLevel="1" x14ac:dyDescent="0.3">
      <c r="B17" s="22"/>
      <c r="C17" s="22" t="s">
        <v>14</v>
      </c>
      <c r="D17" s="17">
        <v>1400</v>
      </c>
      <c r="E17" s="17">
        <v>1400</v>
      </c>
      <c r="F17" s="17">
        <v>1400</v>
      </c>
    </row>
    <row r="18" spans="2:6" ht="15" outlineLevel="1" thickBot="1" x14ac:dyDescent="0.35">
      <c r="B18" s="24"/>
      <c r="C18" s="24" t="s">
        <v>15</v>
      </c>
      <c r="D18" s="18">
        <v>1500</v>
      </c>
      <c r="E18" s="18">
        <v>1500</v>
      </c>
      <c r="F18" s="18">
        <v>1500</v>
      </c>
    </row>
    <row r="19" spans="2:6" x14ac:dyDescent="0.3">
      <c r="B19" t="s">
        <v>23</v>
      </c>
    </row>
    <row r="20" spans="2:6" x14ac:dyDescent="0.3">
      <c r="B20" t="s">
        <v>24</v>
      </c>
    </row>
    <row r="21" spans="2:6" x14ac:dyDescent="0.3">
      <c r="B2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FD3C0-A6FF-4093-95BF-A715C1C4E4DB}">
  <dimension ref="E3:V45"/>
  <sheetViews>
    <sheetView tabSelected="1" topLeftCell="A24" workbookViewId="0">
      <selection activeCell="K46" sqref="K46"/>
    </sheetView>
  </sheetViews>
  <sheetFormatPr defaultRowHeight="14.4" x14ac:dyDescent="0.3"/>
  <cols>
    <col min="9" max="9" width="13.33203125" customWidth="1"/>
    <col min="10" max="10" width="13" customWidth="1"/>
  </cols>
  <sheetData>
    <row r="3" spans="5:22" x14ac:dyDescent="0.3">
      <c r="E3" s="2" t="s">
        <v>0</v>
      </c>
      <c r="F3" s="2">
        <v>150</v>
      </c>
    </row>
    <row r="4" spans="5:22" x14ac:dyDescent="0.3">
      <c r="E4" s="2" t="s">
        <v>1</v>
      </c>
      <c r="F4" s="2">
        <v>10</v>
      </c>
    </row>
    <row r="5" spans="5:22" x14ac:dyDescent="0.3">
      <c r="E5" s="2" t="s">
        <v>2</v>
      </c>
      <c r="F5" s="2">
        <f>F3*F4</f>
        <v>1500</v>
      </c>
    </row>
    <row r="7" spans="5:22" ht="15" x14ac:dyDescent="0.35">
      <c r="J7" s="1" t="s">
        <v>3</v>
      </c>
    </row>
    <row r="9" spans="5:22" ht="15" thickBot="1" x14ac:dyDescent="0.35"/>
    <row r="10" spans="5:22" x14ac:dyDescent="0.3">
      <c r="H10" s="11"/>
      <c r="I10" s="12">
        <f>F5</f>
        <v>1500</v>
      </c>
      <c r="M10" s="3">
        <f>F5</f>
        <v>1500</v>
      </c>
      <c r="N10" s="4">
        <v>10</v>
      </c>
      <c r="O10" s="4">
        <v>11</v>
      </c>
      <c r="P10" s="4">
        <v>12</v>
      </c>
      <c r="Q10" s="4">
        <v>13</v>
      </c>
      <c r="R10" s="4">
        <v>14</v>
      </c>
      <c r="S10" s="4">
        <v>15</v>
      </c>
      <c r="T10" s="4">
        <v>16</v>
      </c>
      <c r="U10" s="4">
        <v>17</v>
      </c>
      <c r="V10" s="5">
        <v>18</v>
      </c>
    </row>
    <row r="11" spans="5:22" x14ac:dyDescent="0.3">
      <c r="H11" s="13">
        <v>50</v>
      </c>
      <c r="I11" s="14">
        <f t="dataTable" ref="I11:I21" dt2D="0" dtr="0" r1="F3"/>
        <v>500</v>
      </c>
      <c r="M11" s="6">
        <v>50</v>
      </c>
      <c r="N11" s="2">
        <f t="dataTable" ref="N11:V21" dt2D="1" dtr="1" r1="F3" r2="F4" ca="1"/>
        <v>500</v>
      </c>
      <c r="O11" s="2">
        <v>550</v>
      </c>
      <c r="P11" s="2">
        <v>600</v>
      </c>
      <c r="Q11" s="2">
        <v>650</v>
      </c>
      <c r="R11" s="2">
        <v>700</v>
      </c>
      <c r="S11" s="2">
        <v>750</v>
      </c>
      <c r="T11" s="2">
        <v>800</v>
      </c>
      <c r="U11" s="2">
        <v>850</v>
      </c>
      <c r="V11" s="7">
        <v>900</v>
      </c>
    </row>
    <row r="12" spans="5:22" x14ac:dyDescent="0.3">
      <c r="H12" s="13">
        <v>60</v>
      </c>
      <c r="I12" s="14">
        <v>600</v>
      </c>
      <c r="M12" s="6">
        <v>60</v>
      </c>
      <c r="N12" s="2">
        <v>600</v>
      </c>
      <c r="O12" s="2">
        <v>660</v>
      </c>
      <c r="P12" s="2">
        <v>720</v>
      </c>
      <c r="Q12" s="2">
        <v>780</v>
      </c>
      <c r="R12" s="2">
        <v>840</v>
      </c>
      <c r="S12" s="2">
        <v>900</v>
      </c>
      <c r="T12" s="2">
        <v>960</v>
      </c>
      <c r="U12" s="2">
        <v>1020</v>
      </c>
      <c r="V12" s="7">
        <v>1080</v>
      </c>
    </row>
    <row r="13" spans="5:22" x14ac:dyDescent="0.3">
      <c r="H13" s="13">
        <v>70</v>
      </c>
      <c r="I13" s="14">
        <v>700</v>
      </c>
      <c r="M13" s="6">
        <v>70</v>
      </c>
      <c r="N13" s="2">
        <v>700</v>
      </c>
      <c r="O13" s="2">
        <v>770</v>
      </c>
      <c r="P13" s="2">
        <v>840</v>
      </c>
      <c r="Q13" s="2">
        <v>910</v>
      </c>
      <c r="R13" s="2">
        <v>980</v>
      </c>
      <c r="S13" s="2">
        <v>1050</v>
      </c>
      <c r="T13" s="2">
        <v>1120</v>
      </c>
      <c r="U13" s="2">
        <v>1190</v>
      </c>
      <c r="V13" s="7">
        <v>1260</v>
      </c>
    </row>
    <row r="14" spans="5:22" x14ac:dyDescent="0.3">
      <c r="H14" s="13">
        <v>80</v>
      </c>
      <c r="I14" s="14">
        <v>800</v>
      </c>
      <c r="M14" s="6">
        <v>80</v>
      </c>
      <c r="N14" s="2">
        <v>800</v>
      </c>
      <c r="O14" s="2">
        <v>880</v>
      </c>
      <c r="P14" s="2">
        <v>960</v>
      </c>
      <c r="Q14" s="2">
        <v>1040</v>
      </c>
      <c r="R14" s="2">
        <v>1120</v>
      </c>
      <c r="S14" s="2">
        <v>1200</v>
      </c>
      <c r="T14" s="2">
        <v>1280</v>
      </c>
      <c r="U14" s="2">
        <v>1360</v>
      </c>
      <c r="V14" s="7">
        <v>1440</v>
      </c>
    </row>
    <row r="15" spans="5:22" x14ac:dyDescent="0.3">
      <c r="H15" s="13">
        <v>90</v>
      </c>
      <c r="I15" s="14">
        <v>900</v>
      </c>
      <c r="M15" s="6">
        <v>90</v>
      </c>
      <c r="N15" s="2">
        <v>900</v>
      </c>
      <c r="O15" s="2">
        <v>990</v>
      </c>
      <c r="P15" s="2">
        <v>1080</v>
      </c>
      <c r="Q15" s="2">
        <v>1170</v>
      </c>
      <c r="R15" s="2">
        <v>1260</v>
      </c>
      <c r="S15" s="2">
        <v>1350</v>
      </c>
      <c r="T15" s="2">
        <v>1440</v>
      </c>
      <c r="U15" s="2">
        <v>1530</v>
      </c>
      <c r="V15" s="7">
        <v>1620</v>
      </c>
    </row>
    <row r="16" spans="5:22" x14ac:dyDescent="0.3">
      <c r="H16" s="13">
        <v>100</v>
      </c>
      <c r="I16" s="14">
        <v>1000</v>
      </c>
      <c r="M16" s="6">
        <v>100</v>
      </c>
      <c r="N16" s="2">
        <v>1000</v>
      </c>
      <c r="O16" s="2">
        <v>1100</v>
      </c>
      <c r="P16" s="2">
        <v>1200</v>
      </c>
      <c r="Q16" s="2">
        <v>1300</v>
      </c>
      <c r="R16" s="2">
        <v>1400</v>
      </c>
      <c r="S16" s="2">
        <v>1500</v>
      </c>
      <c r="T16" s="2">
        <v>1600</v>
      </c>
      <c r="U16" s="2">
        <v>1700</v>
      </c>
      <c r="V16" s="7">
        <v>1800</v>
      </c>
    </row>
    <row r="17" spans="8:22" x14ac:dyDescent="0.3">
      <c r="H17" s="13">
        <v>110</v>
      </c>
      <c r="I17" s="14">
        <v>1100</v>
      </c>
      <c r="M17" s="6">
        <v>110</v>
      </c>
      <c r="N17" s="2">
        <v>1100</v>
      </c>
      <c r="O17" s="2">
        <v>1210</v>
      </c>
      <c r="P17" s="2">
        <v>1320</v>
      </c>
      <c r="Q17" s="2">
        <v>1430</v>
      </c>
      <c r="R17" s="2">
        <v>1540</v>
      </c>
      <c r="S17" s="2">
        <v>1650</v>
      </c>
      <c r="T17" s="2">
        <v>1760</v>
      </c>
      <c r="U17" s="2">
        <v>1870</v>
      </c>
      <c r="V17" s="7">
        <v>1980</v>
      </c>
    </row>
    <row r="18" spans="8:22" x14ac:dyDescent="0.3">
      <c r="H18" s="13">
        <v>120</v>
      </c>
      <c r="I18" s="14">
        <v>1200</v>
      </c>
      <c r="M18" s="6">
        <v>120</v>
      </c>
      <c r="N18" s="2">
        <v>1200</v>
      </c>
      <c r="O18" s="2">
        <v>1320</v>
      </c>
      <c r="P18" s="2">
        <v>1440</v>
      </c>
      <c r="Q18" s="2">
        <v>1560</v>
      </c>
      <c r="R18" s="2">
        <v>1680</v>
      </c>
      <c r="S18" s="2">
        <v>1800</v>
      </c>
      <c r="T18" s="2">
        <v>1920</v>
      </c>
      <c r="U18" s="2">
        <v>2040</v>
      </c>
      <c r="V18" s="7">
        <v>2160</v>
      </c>
    </row>
    <row r="19" spans="8:22" x14ac:dyDescent="0.3">
      <c r="H19" s="13">
        <v>130</v>
      </c>
      <c r="I19" s="14">
        <v>1300</v>
      </c>
      <c r="M19" s="6">
        <v>130</v>
      </c>
      <c r="N19" s="2">
        <v>1300</v>
      </c>
      <c r="O19" s="2">
        <v>1430</v>
      </c>
      <c r="P19" s="2">
        <v>1560</v>
      </c>
      <c r="Q19" s="2">
        <v>1690</v>
      </c>
      <c r="R19" s="2">
        <v>1820</v>
      </c>
      <c r="S19" s="2">
        <v>1950</v>
      </c>
      <c r="T19" s="2">
        <v>2080</v>
      </c>
      <c r="U19" s="2">
        <v>2210</v>
      </c>
      <c r="V19" s="7">
        <v>2340</v>
      </c>
    </row>
    <row r="20" spans="8:22" x14ac:dyDescent="0.3">
      <c r="H20" s="13">
        <v>140</v>
      </c>
      <c r="I20" s="14">
        <v>1400</v>
      </c>
      <c r="M20" s="6">
        <v>140</v>
      </c>
      <c r="N20" s="2">
        <v>1400</v>
      </c>
      <c r="O20" s="2">
        <v>1540</v>
      </c>
      <c r="P20" s="2">
        <v>1680</v>
      </c>
      <c r="Q20" s="2">
        <v>1820</v>
      </c>
      <c r="R20" s="2">
        <v>1960</v>
      </c>
      <c r="S20" s="2">
        <v>2100</v>
      </c>
      <c r="T20" s="2">
        <v>2240</v>
      </c>
      <c r="U20" s="2">
        <v>2380</v>
      </c>
      <c r="V20" s="7">
        <v>2520</v>
      </c>
    </row>
    <row r="21" spans="8:22" ht="15" thickBot="1" x14ac:dyDescent="0.35">
      <c r="H21" s="15">
        <v>150</v>
      </c>
      <c r="I21" s="16">
        <v>1500</v>
      </c>
      <c r="M21" s="8">
        <v>150</v>
      </c>
      <c r="N21" s="9">
        <v>1500</v>
      </c>
      <c r="O21" s="9">
        <v>1650</v>
      </c>
      <c r="P21" s="9">
        <v>1800</v>
      </c>
      <c r="Q21" s="9">
        <v>1950</v>
      </c>
      <c r="R21" s="9">
        <v>2100</v>
      </c>
      <c r="S21" s="9">
        <v>2250</v>
      </c>
      <c r="T21" s="9">
        <v>2400</v>
      </c>
      <c r="U21" s="9">
        <v>2550</v>
      </c>
      <c r="V21" s="10">
        <v>2700</v>
      </c>
    </row>
    <row r="24" spans="8:22" ht="15" x14ac:dyDescent="0.35">
      <c r="I24" s="29" t="s">
        <v>26</v>
      </c>
    </row>
    <row r="26" spans="8:22" x14ac:dyDescent="0.3">
      <c r="I26" t="s">
        <v>27</v>
      </c>
      <c r="J26">
        <v>150000</v>
      </c>
    </row>
    <row r="27" spans="8:22" x14ac:dyDescent="0.3">
      <c r="I27" t="s">
        <v>28</v>
      </c>
      <c r="J27">
        <v>60000</v>
      </c>
    </row>
    <row r="28" spans="8:22" x14ac:dyDescent="0.3">
      <c r="I28" t="s">
        <v>29</v>
      </c>
      <c r="J28">
        <f>J26-J27</f>
        <v>90000</v>
      </c>
    </row>
    <row r="32" spans="8:22" ht="15" x14ac:dyDescent="0.35">
      <c r="I32" s="29" t="s">
        <v>30</v>
      </c>
    </row>
    <row r="34" spans="9:10" x14ac:dyDescent="0.3">
      <c r="I34" t="s">
        <v>2</v>
      </c>
      <c r="J34">
        <f>J36*J35</f>
        <v>4999.9999999999991</v>
      </c>
    </row>
    <row r="35" spans="9:10" x14ac:dyDescent="0.3">
      <c r="I35" t="s">
        <v>31</v>
      </c>
      <c r="J35">
        <v>10</v>
      </c>
    </row>
    <row r="36" spans="9:10" x14ac:dyDescent="0.3">
      <c r="I36" t="s">
        <v>32</v>
      </c>
      <c r="J36">
        <v>499.99999999999994</v>
      </c>
    </row>
    <row r="39" spans="9:10" ht="15" x14ac:dyDescent="0.35">
      <c r="I39" s="30" t="s">
        <v>33</v>
      </c>
    </row>
    <row r="42" spans="9:10" x14ac:dyDescent="0.3">
      <c r="I42" t="s">
        <v>34</v>
      </c>
      <c r="J42" s="31">
        <v>0.1</v>
      </c>
    </row>
    <row r="43" spans="9:10" x14ac:dyDescent="0.3">
      <c r="I43" t="s">
        <v>35</v>
      </c>
      <c r="J43">
        <v>5</v>
      </c>
    </row>
    <row r="44" spans="9:10" x14ac:dyDescent="0.3">
      <c r="I44" t="s">
        <v>37</v>
      </c>
      <c r="J44" s="32">
        <f>PMT(J42/12,J43*12,-J45)</f>
        <v>20000</v>
      </c>
    </row>
    <row r="45" spans="9:10" x14ac:dyDescent="0.3">
      <c r="I45" t="s">
        <v>36</v>
      </c>
      <c r="J45">
        <v>941307.38047504029</v>
      </c>
    </row>
  </sheetData>
  <scenarios current="2" show="2" sqref="I11 I12 I13 I14 I15 I16 I17 I18 I19 I20 I21">
    <scenario name="best" locked="1" count="1" user="MANOJ DHAGE" comment="Created by MANOJ DHAGE on 2/24/2026">
      <inputCells r="J26" val="200000"/>
    </scenario>
    <scenario name="worst" locked="1" count="1" user="MANOJ DHAGE" comment="Created by MANOJ DHAGE on 2/24/2026">
      <inputCells r="J26" val="10000"/>
    </scenario>
    <scenario name="average" locked="1" count="1" user="MANOJ DHAGE" comment="Created by MANOJ DHAGE on 2/24/2026">
      <inputCells r="J26" val="150000"/>
    </scenario>
  </scenario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 Summary</vt:lpstr>
      <vt:lpstr>Data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DHAGE</dc:creator>
  <cp:lastModifiedBy>MANOJ DHAGE</cp:lastModifiedBy>
  <dcterms:created xsi:type="dcterms:W3CDTF">2026-02-24T03:43:23Z</dcterms:created>
  <dcterms:modified xsi:type="dcterms:W3CDTF">2026-02-24T05:07:53Z</dcterms:modified>
</cp:coreProperties>
</file>