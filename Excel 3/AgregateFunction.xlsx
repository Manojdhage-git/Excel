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Manoj Dhage\Desktop\upGrad\Excel\"/>
    </mc:Choice>
  </mc:AlternateContent>
  <xr:revisionPtr revIDLastSave="0" documentId="13_ncr:1_{88CA4496-8689-48A6-88AB-17DE87BA260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UM" sheetId="1" r:id="rId1"/>
    <sheet name="Average" sheetId="2" r:id="rId2"/>
    <sheet name="Cou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3" l="1"/>
  <c r="G14" i="3"/>
  <c r="E14" i="3"/>
  <c r="C14" i="3"/>
  <c r="D23" i="2"/>
  <c r="F20" i="2"/>
  <c r="D20" i="2"/>
  <c r="J14" i="2"/>
  <c r="F16" i="2"/>
  <c r="D16" i="2"/>
  <c r="M32" i="1"/>
  <c r="L32" i="1"/>
  <c r="N24" i="1"/>
  <c r="N21" i="1"/>
  <c r="N18" i="1"/>
  <c r="P15" i="1"/>
  <c r="K6" i="1"/>
  <c r="K7" i="1"/>
  <c r="K8" i="1"/>
  <c r="K9" i="1"/>
  <c r="K10" i="1"/>
  <c r="K11" i="1"/>
  <c r="K12" i="1"/>
  <c r="K13" i="1"/>
  <c r="K14" i="1"/>
  <c r="K5" i="1"/>
  <c r="J16" i="1"/>
  <c r="N13" i="1"/>
</calcChain>
</file>

<file path=xl/sharedStrings.xml><?xml version="1.0" encoding="utf-8"?>
<sst xmlns="http://schemas.openxmlformats.org/spreadsheetml/2006/main" count="113" uniqueCount="57">
  <si>
    <t>marks</t>
  </si>
  <si>
    <t>id</t>
  </si>
  <si>
    <t>QUANTITY</t>
  </si>
  <si>
    <t>PRICE</t>
  </si>
  <si>
    <t>SUMPRODUCT</t>
  </si>
  <si>
    <t>SUM</t>
  </si>
  <si>
    <t>SUM-IF</t>
  </si>
  <si>
    <t>SUMIFS</t>
  </si>
  <si>
    <t>SUM OF SQUARES OF PRICE</t>
  </si>
  <si>
    <t>SUMSQ FUNTION()</t>
  </si>
  <si>
    <t>SUMX2MY2</t>
  </si>
  <si>
    <t>SUMX2PY2</t>
  </si>
  <si>
    <t>SUMXMY2</t>
  </si>
  <si>
    <t>DSUM</t>
  </si>
  <si>
    <t>PRODUCT</t>
  </si>
  <si>
    <t>REGION</t>
  </si>
  <si>
    <t>SALES</t>
  </si>
  <si>
    <t>APPLE</t>
  </si>
  <si>
    <t>BANANA</t>
  </si>
  <si>
    <t>EAST</t>
  </si>
  <si>
    <t>WEST</t>
  </si>
  <si>
    <t>IMSUM</t>
  </si>
  <si>
    <t>SUM OF COMPLEX NUMBERS</t>
  </si>
  <si>
    <t>Student</t>
  </si>
  <si>
    <t>Subject</t>
  </si>
  <si>
    <t>Class</t>
  </si>
  <si>
    <t>Marks</t>
  </si>
  <si>
    <t>Attendance</t>
  </si>
  <si>
    <t>Aman</t>
  </si>
  <si>
    <t>Math</t>
  </si>
  <si>
    <t>A</t>
  </si>
  <si>
    <t>Science</t>
  </si>
  <si>
    <t>Riya</t>
  </si>
  <si>
    <t>Sahil</t>
  </si>
  <si>
    <t>B</t>
  </si>
  <si>
    <t>Neha</t>
  </si>
  <si>
    <t>Average (Marks)</t>
  </si>
  <si>
    <t>AverageA</t>
  </si>
  <si>
    <t>abc</t>
  </si>
  <si>
    <t>(10 + 20 + 1 + 0 + 0) / 5</t>
  </si>
  <si>
    <r>
      <t xml:space="preserve">✅ = </t>
    </r>
    <r>
      <rPr>
        <b/>
        <sz val="11"/>
        <color theme="1"/>
        <rFont val="Calibri"/>
        <family val="2"/>
        <scheme val="minor"/>
      </rPr>
      <t>31 / 5 = 6.2</t>
    </r>
  </si>
  <si>
    <t>ANS</t>
  </si>
  <si>
    <t>AVERAGEA</t>
  </si>
  <si>
    <t>AVERAGEIF</t>
  </si>
  <si>
    <t>4. AVERAGEIFS</t>
  </si>
  <si>
    <t>DAVERAGE</t>
  </si>
  <si>
    <t>Result</t>
  </si>
  <si>
    <t>Pass</t>
  </si>
  <si>
    <t>Fail</t>
  </si>
  <si>
    <t>Rahul</t>
  </si>
  <si>
    <t>Pooja</t>
  </si>
  <si>
    <t>Kiran</t>
  </si>
  <si>
    <t>Meena</t>
  </si>
  <si>
    <t>Count students</t>
  </si>
  <si>
    <t>count blank</t>
  </si>
  <si>
    <t>countif</t>
  </si>
  <si>
    <t>countifs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</si>
</sst>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3:P35"/>
  <sheetViews>
    <sheetView topLeftCell="E1" zoomScale="136" zoomScaleNormal="136" workbookViewId="0">
      <selection activeCell="N34" sqref="N34"/>
    </sheetView>
  </sheetViews>
  <sheetFormatPr defaultRowHeight="14.4" x14ac:dyDescent="0.3"/>
  <cols>
    <col min="11" max="11" width="25.88671875" customWidth="1"/>
    <col min="12" max="12" width="18.5546875" customWidth="1"/>
    <col min="14" max="15" width="15" customWidth="1"/>
    <col min="16" max="16" width="25.88671875" customWidth="1"/>
  </cols>
  <sheetData>
    <row r="3" spans="9:16" x14ac:dyDescent="0.3">
      <c r="K3">
        <v>1</v>
      </c>
      <c r="L3">
        <v>2</v>
      </c>
    </row>
    <row r="4" spans="9:16" x14ac:dyDescent="0.3">
      <c r="I4" s="5" t="s">
        <v>1</v>
      </c>
      <c r="J4" s="5" t="s">
        <v>0</v>
      </c>
      <c r="K4" s="6" t="s">
        <v>6</v>
      </c>
      <c r="L4" s="4" t="s">
        <v>7</v>
      </c>
    </row>
    <row r="5" spans="9:16" x14ac:dyDescent="0.3">
      <c r="I5" s="6">
        <v>1</v>
      </c>
      <c r="J5" s="6">
        <v>77</v>
      </c>
      <c r="K5" s="6">
        <f>SUMIF(I5:I14,I5,J5:J14)</f>
        <v>77</v>
      </c>
    </row>
    <row r="6" spans="9:16" x14ac:dyDescent="0.3">
      <c r="I6" s="6">
        <v>2</v>
      </c>
      <c r="J6" s="6">
        <v>44</v>
      </c>
      <c r="K6" s="6">
        <f t="shared" ref="K6:K14" si="0">SUMIF(I6:I15,I6,J6:J15)</f>
        <v>44</v>
      </c>
    </row>
    <row r="7" spans="9:16" x14ac:dyDescent="0.3">
      <c r="I7" s="6">
        <v>3</v>
      </c>
      <c r="J7" s="6">
        <v>33</v>
      </c>
      <c r="K7" s="6">
        <f t="shared" si="0"/>
        <v>33</v>
      </c>
      <c r="N7" s="7" t="s">
        <v>2</v>
      </c>
      <c r="O7" s="7" t="s">
        <v>3</v>
      </c>
    </row>
    <row r="8" spans="9:16" x14ac:dyDescent="0.3">
      <c r="I8" s="6">
        <v>4</v>
      </c>
      <c r="J8" s="6">
        <v>11</v>
      </c>
      <c r="K8" s="6">
        <f t="shared" si="0"/>
        <v>11</v>
      </c>
      <c r="N8" s="6">
        <v>2</v>
      </c>
      <c r="O8" s="6">
        <v>10</v>
      </c>
    </row>
    <row r="9" spans="9:16" x14ac:dyDescent="0.3">
      <c r="I9" s="6">
        <v>5</v>
      </c>
      <c r="J9" s="6">
        <v>42</v>
      </c>
      <c r="K9" s="6">
        <f t="shared" si="0"/>
        <v>42</v>
      </c>
      <c r="N9" s="6">
        <v>3</v>
      </c>
      <c r="O9" s="6">
        <v>15</v>
      </c>
    </row>
    <row r="10" spans="9:16" x14ac:dyDescent="0.3">
      <c r="I10" s="6">
        <v>6</v>
      </c>
      <c r="J10" s="6">
        <v>42</v>
      </c>
      <c r="K10" s="6">
        <f t="shared" si="0"/>
        <v>42</v>
      </c>
      <c r="N10" s="6">
        <v>4</v>
      </c>
      <c r="O10" s="6">
        <v>8</v>
      </c>
    </row>
    <row r="11" spans="9:16" x14ac:dyDescent="0.3">
      <c r="I11" s="6">
        <v>7</v>
      </c>
      <c r="J11" s="6">
        <v>21.2</v>
      </c>
      <c r="K11" s="6">
        <f t="shared" si="0"/>
        <v>21.2</v>
      </c>
    </row>
    <row r="12" spans="9:16" x14ac:dyDescent="0.3">
      <c r="I12" s="6">
        <v>8</v>
      </c>
      <c r="J12" s="6">
        <v>15.4</v>
      </c>
      <c r="K12" s="6">
        <f t="shared" si="0"/>
        <v>15.4</v>
      </c>
      <c r="M12" s="1">
        <v>4</v>
      </c>
      <c r="N12" s="3" t="s">
        <v>4</v>
      </c>
    </row>
    <row r="13" spans="9:16" x14ac:dyDescent="0.3">
      <c r="I13" s="6">
        <v>9</v>
      </c>
      <c r="J13" s="6">
        <v>9.6</v>
      </c>
      <c r="K13" s="6">
        <f t="shared" si="0"/>
        <v>9.6</v>
      </c>
      <c r="N13" s="6">
        <f>SUMPRODUCT(N8:N10,O8:O10)</f>
        <v>97</v>
      </c>
      <c r="O13" s="1">
        <v>5</v>
      </c>
      <c r="P13" s="3" t="s">
        <v>8</v>
      </c>
    </row>
    <row r="14" spans="9:16" x14ac:dyDescent="0.3">
      <c r="I14" s="6">
        <v>10</v>
      </c>
      <c r="J14" s="6">
        <v>3.8</v>
      </c>
      <c r="K14" s="6">
        <f t="shared" si="0"/>
        <v>3.8</v>
      </c>
      <c r="P14" s="3" t="s">
        <v>9</v>
      </c>
    </row>
    <row r="15" spans="9:16" x14ac:dyDescent="0.3">
      <c r="I15" s="1">
        <v>3</v>
      </c>
      <c r="J15" s="1" t="s">
        <v>5</v>
      </c>
      <c r="K15" s="1"/>
      <c r="P15" s="6">
        <f>SUMSQ(O8:O10)</f>
        <v>389</v>
      </c>
    </row>
    <row r="16" spans="9:16" x14ac:dyDescent="0.3">
      <c r="I16" s="1"/>
      <c r="J16" s="1">
        <f>SUM(J5:J14)</f>
        <v>299</v>
      </c>
      <c r="K16" s="1"/>
    </row>
    <row r="17" spans="9:16" x14ac:dyDescent="0.3">
      <c r="M17">
        <v>6</v>
      </c>
      <c r="N17" s="7" t="s">
        <v>10</v>
      </c>
      <c r="P17" s="7"/>
    </row>
    <row r="18" spans="9:16" x14ac:dyDescent="0.3">
      <c r="N18" s="6">
        <f>SUMX2MY2(N8:N10,O8:O10)</f>
        <v>-360</v>
      </c>
    </row>
    <row r="20" spans="9:16" x14ac:dyDescent="0.3">
      <c r="M20">
        <v>7</v>
      </c>
      <c r="N20" s="7" t="s">
        <v>11</v>
      </c>
    </row>
    <row r="21" spans="9:16" x14ac:dyDescent="0.3">
      <c r="N21" s="6">
        <f>SUMX2PY2(N8:N10,O8:O10)</f>
        <v>418</v>
      </c>
    </row>
    <row r="23" spans="9:16" x14ac:dyDescent="0.3">
      <c r="M23">
        <v>8</v>
      </c>
      <c r="N23" s="7" t="s">
        <v>12</v>
      </c>
    </row>
    <row r="24" spans="9:16" x14ac:dyDescent="0.3">
      <c r="N24" s="6">
        <f>SUMXMY2(N8:N10,O8:O10)</f>
        <v>224</v>
      </c>
    </row>
    <row r="26" spans="9:16" x14ac:dyDescent="0.3">
      <c r="I26">
        <v>9</v>
      </c>
      <c r="J26" s="3" t="s">
        <v>14</v>
      </c>
      <c r="K26" s="3" t="s">
        <v>15</v>
      </c>
      <c r="L26" s="3" t="s">
        <v>16</v>
      </c>
      <c r="M26" s="2"/>
      <c r="N26" s="3" t="s">
        <v>14</v>
      </c>
    </row>
    <row r="27" spans="9:16" x14ac:dyDescent="0.3">
      <c r="J27" s="4" t="s">
        <v>17</v>
      </c>
      <c r="K27" s="4" t="s">
        <v>19</v>
      </c>
      <c r="L27" s="4">
        <v>100</v>
      </c>
      <c r="N27" s="4" t="s">
        <v>17</v>
      </c>
    </row>
    <row r="28" spans="9:16" x14ac:dyDescent="0.3">
      <c r="J28" s="4" t="s">
        <v>18</v>
      </c>
      <c r="K28" s="4" t="s">
        <v>20</v>
      </c>
      <c r="L28" s="4">
        <v>150</v>
      </c>
    </row>
    <row r="29" spans="9:16" x14ac:dyDescent="0.3">
      <c r="J29" s="4" t="s">
        <v>17</v>
      </c>
      <c r="K29" s="4" t="s">
        <v>20</v>
      </c>
      <c r="L29" s="4">
        <v>200</v>
      </c>
    </row>
    <row r="30" spans="9:16" x14ac:dyDescent="0.3">
      <c r="J30" s="4" t="s">
        <v>18</v>
      </c>
      <c r="K30" s="4" t="s">
        <v>19</v>
      </c>
      <c r="L30" s="4">
        <v>120</v>
      </c>
    </row>
    <row r="32" spans="9:16" x14ac:dyDescent="0.3">
      <c r="K32" s="2" t="s">
        <v>13</v>
      </c>
      <c r="L32" s="2">
        <f>DSUM(J26:L30,"SALES",N26:N27)</f>
        <v>300</v>
      </c>
      <c r="M32" s="2">
        <f>DSUM(J26:L30,"SALES",N26:N27)</f>
        <v>300</v>
      </c>
    </row>
    <row r="34" spans="9:13" x14ac:dyDescent="0.3">
      <c r="I34">
        <v>10</v>
      </c>
      <c r="M34">
        <v>11</v>
      </c>
    </row>
    <row r="35" spans="9:13" x14ac:dyDescent="0.3">
      <c r="J35" t="s">
        <v>21</v>
      </c>
      <c r="K35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0B1A4-8222-4FFC-9FFB-EE4A596A94C3}">
  <dimension ref="C3:J24"/>
  <sheetViews>
    <sheetView topLeftCell="A6" zoomScale="136" zoomScaleNormal="136" workbookViewId="0">
      <selection activeCell="G22" sqref="G22"/>
    </sheetView>
  </sheetViews>
  <sheetFormatPr defaultRowHeight="14.4" x14ac:dyDescent="0.3"/>
  <cols>
    <col min="3" max="7" width="16" customWidth="1"/>
    <col min="8" max="8" width="9.6640625" customWidth="1"/>
  </cols>
  <sheetData>
    <row r="3" spans="3:10" x14ac:dyDescent="0.3"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</row>
    <row r="4" spans="3:10" x14ac:dyDescent="0.3">
      <c r="C4" s="4" t="s">
        <v>28</v>
      </c>
      <c r="D4" s="4" t="s">
        <v>29</v>
      </c>
      <c r="E4" s="4" t="s">
        <v>30</v>
      </c>
      <c r="F4" s="4">
        <v>85</v>
      </c>
      <c r="G4" s="4" t="b">
        <v>1</v>
      </c>
    </row>
    <row r="5" spans="3:10" x14ac:dyDescent="0.3">
      <c r="C5" s="4" t="s">
        <v>28</v>
      </c>
      <c r="D5" s="4" t="s">
        <v>31</v>
      </c>
      <c r="E5" s="4" t="s">
        <v>30</v>
      </c>
      <c r="F5" s="4">
        <v>78</v>
      </c>
      <c r="G5" s="4" t="b">
        <v>0</v>
      </c>
    </row>
    <row r="6" spans="3:10" x14ac:dyDescent="0.3">
      <c r="C6" s="4" t="s">
        <v>32</v>
      </c>
      <c r="D6" s="4" t="s">
        <v>29</v>
      </c>
      <c r="E6" s="4" t="s">
        <v>30</v>
      </c>
      <c r="F6" s="4">
        <v>92</v>
      </c>
      <c r="G6" s="4" t="b">
        <v>1</v>
      </c>
      <c r="J6" s="6">
        <v>10</v>
      </c>
    </row>
    <row r="7" spans="3:10" x14ac:dyDescent="0.3">
      <c r="C7" s="4" t="s">
        <v>32</v>
      </c>
      <c r="D7" s="4" t="s">
        <v>31</v>
      </c>
      <c r="E7" s="4" t="s">
        <v>30</v>
      </c>
      <c r="F7" s="4">
        <v>88</v>
      </c>
      <c r="G7" s="4" t="b">
        <v>1</v>
      </c>
      <c r="J7" s="6">
        <v>20</v>
      </c>
    </row>
    <row r="8" spans="3:10" x14ac:dyDescent="0.3">
      <c r="C8" s="4" t="s">
        <v>33</v>
      </c>
      <c r="D8" s="4" t="s">
        <v>29</v>
      </c>
      <c r="E8" s="4" t="s">
        <v>34</v>
      </c>
      <c r="F8" s="4">
        <v>70</v>
      </c>
      <c r="G8" s="4" t="b">
        <v>0</v>
      </c>
      <c r="J8" s="6" t="b">
        <v>1</v>
      </c>
    </row>
    <row r="9" spans="3:10" x14ac:dyDescent="0.3">
      <c r="C9" s="4" t="s">
        <v>33</v>
      </c>
      <c r="D9" s="4" t="s">
        <v>31</v>
      </c>
      <c r="E9" s="4" t="s">
        <v>34</v>
      </c>
      <c r="F9" s="4">
        <v>75</v>
      </c>
      <c r="G9" s="4" t="b">
        <v>1</v>
      </c>
      <c r="J9" s="6" t="b">
        <v>0</v>
      </c>
    </row>
    <row r="10" spans="3:10" x14ac:dyDescent="0.3">
      <c r="C10" s="4" t="s">
        <v>35</v>
      </c>
      <c r="D10" s="4" t="s">
        <v>29</v>
      </c>
      <c r="E10" s="4" t="s">
        <v>34</v>
      </c>
      <c r="F10" s="4">
        <v>60</v>
      </c>
      <c r="G10" s="4" t="b">
        <v>1</v>
      </c>
      <c r="J10" s="6" t="s">
        <v>38</v>
      </c>
    </row>
    <row r="11" spans="3:10" x14ac:dyDescent="0.3">
      <c r="C11" s="4" t="s">
        <v>35</v>
      </c>
      <c r="D11" s="4" t="s">
        <v>31</v>
      </c>
      <c r="E11" s="4" t="s">
        <v>34</v>
      </c>
      <c r="F11" s="4">
        <v>68</v>
      </c>
      <c r="G11" s="4" t="b">
        <v>0</v>
      </c>
    </row>
    <row r="14" spans="3:10" x14ac:dyDescent="0.3">
      <c r="H14" t="s">
        <v>42</v>
      </c>
      <c r="I14" t="s">
        <v>41</v>
      </c>
      <c r="J14">
        <f>AVERAGEA(J6:J10)</f>
        <v>6.2</v>
      </c>
    </row>
    <row r="15" spans="3:10" x14ac:dyDescent="0.3">
      <c r="C15">
        <v>1</v>
      </c>
      <c r="D15" t="s">
        <v>36</v>
      </c>
      <c r="E15">
        <v>2</v>
      </c>
      <c r="F15" t="s">
        <v>37</v>
      </c>
      <c r="J15" t="s">
        <v>39</v>
      </c>
    </row>
    <row r="16" spans="3:10" x14ac:dyDescent="0.3">
      <c r="D16">
        <f>AVERAGE(F4:F11)</f>
        <v>77</v>
      </c>
      <c r="F16">
        <f>AVERAGEA(G4:G11)</f>
        <v>0.625</v>
      </c>
      <c r="J16" t="s">
        <v>40</v>
      </c>
    </row>
    <row r="19" spans="3:8" x14ac:dyDescent="0.3">
      <c r="C19">
        <v>3</v>
      </c>
      <c r="D19" t="s">
        <v>43</v>
      </c>
      <c r="F19" t="s">
        <v>44</v>
      </c>
    </row>
    <row r="20" spans="3:8" x14ac:dyDescent="0.3">
      <c r="D20">
        <f>AVERAGEIF(D4:D11,D4,F4:F11)</f>
        <v>76.75</v>
      </c>
      <c r="F20">
        <f>AVERAGEIFS(F4:F11,D4:D11,D5,E4:E11,E4)</f>
        <v>83</v>
      </c>
    </row>
    <row r="22" spans="3:8" x14ac:dyDescent="0.3">
      <c r="C22">
        <v>5</v>
      </c>
      <c r="D22" t="s">
        <v>45</v>
      </c>
    </row>
    <row r="23" spans="3:8" x14ac:dyDescent="0.3">
      <c r="D23">
        <f>DAVERAGE(C3:G11,"Marks",G23:H24)</f>
        <v>88.5</v>
      </c>
      <c r="G23" t="s">
        <v>24</v>
      </c>
      <c r="H23" t="s">
        <v>25</v>
      </c>
    </row>
    <row r="24" spans="3:8" x14ac:dyDescent="0.3">
      <c r="G24" t="s">
        <v>29</v>
      </c>
      <c r="H24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29E24-2DFD-4A65-BD5F-8F305CBC2262}">
  <dimension ref="B2:I14"/>
  <sheetViews>
    <sheetView tabSelected="1" workbookViewId="0">
      <selection activeCell="I15" sqref="I15"/>
    </sheetView>
  </sheetViews>
  <sheetFormatPr defaultRowHeight="14.4" x14ac:dyDescent="0.3"/>
  <cols>
    <col min="6" max="6" width="8.88671875" customWidth="1"/>
  </cols>
  <sheetData>
    <row r="2" spans="2:9" x14ac:dyDescent="0.3">
      <c r="B2" s="6" t="s">
        <v>23</v>
      </c>
      <c r="C2" s="6" t="s">
        <v>25</v>
      </c>
      <c r="D2" s="6" t="s">
        <v>24</v>
      </c>
      <c r="E2" s="6" t="s">
        <v>26</v>
      </c>
      <c r="F2" s="6" t="s">
        <v>46</v>
      </c>
    </row>
    <row r="3" spans="2:9" x14ac:dyDescent="0.3">
      <c r="B3" s="6" t="s">
        <v>28</v>
      </c>
      <c r="C3" s="6" t="s">
        <v>30</v>
      </c>
      <c r="D3" s="6" t="s">
        <v>29</v>
      </c>
      <c r="E3" s="6">
        <v>85</v>
      </c>
      <c r="F3" s="6" t="s">
        <v>47</v>
      </c>
    </row>
    <row r="4" spans="2:9" x14ac:dyDescent="0.3">
      <c r="B4" s="6" t="s">
        <v>32</v>
      </c>
      <c r="C4" s="6" t="s">
        <v>30</v>
      </c>
      <c r="D4" s="6" t="s">
        <v>31</v>
      </c>
      <c r="E4" s="6">
        <v>78</v>
      </c>
      <c r="F4" s="6" t="s">
        <v>47</v>
      </c>
    </row>
    <row r="5" spans="2:9" x14ac:dyDescent="0.3">
      <c r="B5" s="6" t="s">
        <v>33</v>
      </c>
      <c r="C5" s="6" t="s">
        <v>34</v>
      </c>
      <c r="D5" s="6" t="s">
        <v>29</v>
      </c>
      <c r="E5" s="6"/>
      <c r="F5" s="6" t="s">
        <v>48</v>
      </c>
    </row>
    <row r="6" spans="2:9" x14ac:dyDescent="0.3">
      <c r="B6" s="6" t="s">
        <v>35</v>
      </c>
      <c r="C6" s="6" t="s">
        <v>34</v>
      </c>
      <c r="D6" s="6" t="s">
        <v>31</v>
      </c>
      <c r="E6" s="6">
        <v>60</v>
      </c>
      <c r="F6" s="6" t="s">
        <v>47</v>
      </c>
    </row>
    <row r="7" spans="2:9" x14ac:dyDescent="0.3">
      <c r="B7" s="6" t="s">
        <v>49</v>
      </c>
      <c r="C7" s="6" t="s">
        <v>30</v>
      </c>
      <c r="D7" s="6" t="s">
        <v>29</v>
      </c>
      <c r="E7" s="6">
        <v>92</v>
      </c>
      <c r="F7" s="6" t="s">
        <v>47</v>
      </c>
    </row>
    <row r="8" spans="2:9" x14ac:dyDescent="0.3">
      <c r="B8" s="6" t="s">
        <v>50</v>
      </c>
      <c r="C8" s="6" t="s">
        <v>34</v>
      </c>
      <c r="D8" s="6" t="s">
        <v>29</v>
      </c>
      <c r="E8" s="6">
        <v>55</v>
      </c>
      <c r="F8" s="6" t="s">
        <v>48</v>
      </c>
    </row>
    <row r="9" spans="2:9" x14ac:dyDescent="0.3">
      <c r="B9" s="6" t="s">
        <v>51</v>
      </c>
      <c r="C9" s="6" t="s">
        <v>30</v>
      </c>
      <c r="D9" s="6" t="s">
        <v>31</v>
      </c>
      <c r="E9" s="6"/>
      <c r="F9" s="6" t="s">
        <v>47</v>
      </c>
    </row>
    <row r="10" spans="2:9" x14ac:dyDescent="0.3">
      <c r="B10" s="6" t="s">
        <v>52</v>
      </c>
      <c r="C10" s="6" t="s">
        <v>34</v>
      </c>
      <c r="D10" s="6" t="s">
        <v>31</v>
      </c>
      <c r="E10" s="6">
        <v>70</v>
      </c>
      <c r="F10" s="6" t="s">
        <v>47</v>
      </c>
    </row>
    <row r="13" spans="2:9" x14ac:dyDescent="0.3">
      <c r="C13" s="1" t="s">
        <v>53</v>
      </c>
      <c r="E13" t="s">
        <v>54</v>
      </c>
      <c r="G13" t="s">
        <v>55</v>
      </c>
      <c r="I13" t="s">
        <v>56</v>
      </c>
    </row>
    <row r="14" spans="2:9" x14ac:dyDescent="0.3">
      <c r="C14">
        <f>COUNTA(B3:B10)</f>
        <v>8</v>
      </c>
      <c r="E14">
        <f>COUNTBLANK(E3:E10)</f>
        <v>2</v>
      </c>
      <c r="G14">
        <f>COUNTIF(F3:F10,F3)</f>
        <v>6</v>
      </c>
      <c r="I14">
        <f>COUNTIFS(C3:C10,C3,F3:F10,F3)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</vt:lpstr>
      <vt:lpstr>Average</vt:lpstr>
      <vt:lpstr>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DHAGE</dc:creator>
  <cp:lastModifiedBy>MANOJ DHAGE</cp:lastModifiedBy>
  <dcterms:created xsi:type="dcterms:W3CDTF">2015-06-05T18:17:20Z</dcterms:created>
  <dcterms:modified xsi:type="dcterms:W3CDTF">2026-01-28T12:42:20Z</dcterms:modified>
</cp:coreProperties>
</file>