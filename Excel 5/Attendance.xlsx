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78042a2d924d9f3/Desktop/upGrad/Excel/Excel 5/"/>
    </mc:Choice>
  </mc:AlternateContent>
  <xr:revisionPtr revIDLastSave="30" documentId="13_ncr:1_{0532BB4B-314E-42CF-8EB4-10B7D5CA5295}" xr6:coauthVersionLast="47" xr6:coauthVersionMax="47" xr10:uidLastSave="{508B5F8A-75C0-476C-82F1-2E498ED84B89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Z39" i="1"/>
  <c r="X39" i="1"/>
  <c r="V39" i="1"/>
  <c r="P39" i="1"/>
  <c r="O39" i="1"/>
  <c r="N39" i="1"/>
  <c r="Z38" i="1"/>
  <c r="X38" i="1"/>
  <c r="V38" i="1"/>
  <c r="P38" i="1"/>
  <c r="O38" i="1"/>
  <c r="N38" i="1"/>
  <c r="Z37" i="1"/>
  <c r="X37" i="1"/>
  <c r="V37" i="1"/>
  <c r="P37" i="1"/>
  <c r="O37" i="1"/>
  <c r="N37" i="1"/>
  <c r="Z36" i="1"/>
  <c r="X36" i="1"/>
  <c r="V36" i="1"/>
  <c r="P36" i="1"/>
  <c r="O36" i="1"/>
  <c r="N36" i="1"/>
  <c r="Z35" i="1"/>
  <c r="X35" i="1"/>
  <c r="V35" i="1"/>
  <c r="P35" i="1"/>
  <c r="O35" i="1"/>
  <c r="N35" i="1"/>
  <c r="Z34" i="1"/>
  <c r="X34" i="1"/>
  <c r="V34" i="1"/>
  <c r="P34" i="1"/>
  <c r="O34" i="1"/>
  <c r="N34" i="1"/>
  <c r="Z33" i="1"/>
  <c r="X33" i="1"/>
  <c r="V33" i="1"/>
  <c r="P33" i="1"/>
  <c r="O33" i="1"/>
  <c r="N33" i="1"/>
  <c r="Z32" i="1"/>
  <c r="X32" i="1"/>
  <c r="V32" i="1"/>
  <c r="P32" i="1"/>
  <c r="O32" i="1"/>
  <c r="N32" i="1"/>
  <c r="Z31" i="1"/>
  <c r="X31" i="1"/>
  <c r="V31" i="1"/>
  <c r="P31" i="1"/>
  <c r="O31" i="1"/>
  <c r="N31" i="1"/>
  <c r="Z30" i="1"/>
  <c r="X30" i="1"/>
  <c r="V30" i="1"/>
  <c r="P30" i="1"/>
  <c r="O30" i="1"/>
  <c r="N30" i="1"/>
  <c r="Z29" i="1"/>
  <c r="X29" i="1"/>
  <c r="V29" i="1"/>
  <c r="P29" i="1"/>
  <c r="O29" i="1"/>
  <c r="N29" i="1"/>
  <c r="Z28" i="1"/>
  <c r="X28" i="1"/>
  <c r="V28" i="1"/>
  <c r="P28" i="1"/>
  <c r="O28" i="1"/>
  <c r="N28" i="1"/>
  <c r="Z27" i="1"/>
  <c r="X27" i="1"/>
  <c r="V27" i="1"/>
  <c r="P27" i="1"/>
  <c r="O27" i="1"/>
  <c r="N27" i="1"/>
  <c r="Z26" i="1"/>
  <c r="X26" i="1"/>
  <c r="V26" i="1"/>
  <c r="P26" i="1"/>
  <c r="O26" i="1"/>
  <c r="N26" i="1"/>
  <c r="Z25" i="1"/>
  <c r="X25" i="1"/>
  <c r="V25" i="1"/>
  <c r="P25" i="1"/>
  <c r="O25" i="1"/>
  <c r="N25" i="1"/>
  <c r="Z24" i="1"/>
  <c r="X24" i="1"/>
  <c r="V24" i="1"/>
  <c r="P24" i="1"/>
  <c r="O24" i="1"/>
  <c r="N24" i="1"/>
  <c r="Z23" i="1"/>
  <c r="X23" i="1"/>
  <c r="V23" i="1"/>
  <c r="P23" i="1"/>
  <c r="O23" i="1"/>
  <c r="N23" i="1"/>
  <c r="Z22" i="1"/>
  <c r="X22" i="1"/>
  <c r="V22" i="1"/>
  <c r="P22" i="1"/>
  <c r="O22" i="1"/>
  <c r="N22" i="1"/>
  <c r="Z21" i="1"/>
  <c r="X21" i="1"/>
  <c r="V21" i="1"/>
  <c r="P21" i="1"/>
  <c r="O21" i="1"/>
  <c r="N21" i="1"/>
  <c r="Z20" i="1"/>
  <c r="X20" i="1"/>
  <c r="V20" i="1"/>
  <c r="P20" i="1"/>
  <c r="O20" i="1"/>
  <c r="N20" i="1"/>
  <c r="Z19" i="1"/>
  <c r="X19" i="1"/>
  <c r="V19" i="1"/>
  <c r="P19" i="1"/>
  <c r="O19" i="1"/>
  <c r="N19" i="1"/>
  <c r="Z18" i="1"/>
  <c r="X18" i="1"/>
  <c r="V18" i="1"/>
  <c r="P18" i="1"/>
  <c r="O18" i="1"/>
  <c r="N18" i="1"/>
  <c r="Z17" i="1"/>
  <c r="X17" i="1"/>
  <c r="V17" i="1"/>
  <c r="P17" i="1"/>
  <c r="O17" i="1"/>
  <c r="N17" i="1"/>
  <c r="Z16" i="1"/>
  <c r="X16" i="1"/>
  <c r="V16" i="1"/>
  <c r="P16" i="1"/>
  <c r="O16" i="1"/>
  <c r="N16" i="1"/>
  <c r="Z15" i="1"/>
  <c r="X15" i="1"/>
  <c r="V15" i="1"/>
  <c r="P15" i="1"/>
  <c r="O15" i="1"/>
  <c r="N15" i="1"/>
  <c r="Z14" i="1"/>
  <c r="X14" i="1"/>
  <c r="V14" i="1"/>
  <c r="P14" i="1"/>
  <c r="O14" i="1"/>
  <c r="N14" i="1"/>
  <c r="Z13" i="1"/>
  <c r="X13" i="1"/>
  <c r="V13" i="1"/>
  <c r="P13" i="1"/>
  <c r="O13" i="1"/>
  <c r="N13" i="1"/>
  <c r="Z12" i="1"/>
  <c r="X12" i="1"/>
  <c r="V12" i="1"/>
  <c r="P12" i="1"/>
  <c r="O12" i="1"/>
  <c r="N12" i="1"/>
  <c r="Z11" i="1"/>
  <c r="X11" i="1"/>
  <c r="V11" i="1"/>
  <c r="P11" i="1"/>
  <c r="O11" i="1"/>
  <c r="N11" i="1"/>
  <c r="Z10" i="1"/>
  <c r="X10" i="1"/>
  <c r="V10" i="1"/>
  <c r="P10" i="1"/>
  <c r="O10" i="1"/>
  <c r="N10" i="1"/>
  <c r="Z9" i="1"/>
  <c r="X9" i="1"/>
  <c r="V9" i="1"/>
  <c r="P9" i="1"/>
  <c r="O9" i="1"/>
  <c r="N9" i="1"/>
  <c r="Z8" i="1"/>
  <c r="X8" i="1"/>
  <c r="V8" i="1"/>
  <c r="P8" i="1"/>
  <c r="O8" i="1"/>
  <c r="N8" i="1"/>
  <c r="Z7" i="1"/>
  <c r="X7" i="1"/>
  <c r="V7" i="1"/>
  <c r="P7" i="1"/>
  <c r="O7" i="1"/>
  <c r="N7" i="1"/>
  <c r="Z6" i="1"/>
  <c r="X6" i="1"/>
  <c r="V6" i="1"/>
  <c r="P6" i="1"/>
  <c r="O6" i="1"/>
  <c r="N6" i="1"/>
  <c r="Z5" i="1"/>
  <c r="X5" i="1"/>
  <c r="V5" i="1"/>
  <c r="P5" i="1"/>
  <c r="O5" i="1"/>
  <c r="N5" i="1"/>
  <c r="Z4" i="1"/>
  <c r="X4" i="1"/>
  <c r="V4" i="1"/>
  <c r="P4" i="1"/>
  <c r="O4" i="1"/>
  <c r="N4" i="1"/>
  <c r="Z3" i="1"/>
  <c r="X3" i="1"/>
  <c r="V3" i="1"/>
  <c r="P3" i="1"/>
  <c r="O3" i="1"/>
  <c r="N3" i="1"/>
  <c r="AD2" i="1"/>
  <c r="Y29" i="1" s="1"/>
  <c r="Z2" i="1"/>
  <c r="X2" i="1"/>
  <c r="V2" i="1"/>
  <c r="P2" i="1"/>
  <c r="N2" i="1"/>
  <c r="M1" i="1"/>
  <c r="L1" i="1"/>
  <c r="K1" i="1"/>
  <c r="J1" i="1"/>
  <c r="I1" i="1"/>
  <c r="H1" i="1"/>
  <c r="G1" i="1"/>
  <c r="F1" i="1"/>
  <c r="E1" i="1"/>
  <c r="D1" i="1"/>
  <c r="C1" i="1"/>
  <c r="B1" i="1"/>
  <c r="T3" i="1" s="1"/>
  <c r="T10" i="1" l="1"/>
  <c r="T38" i="1"/>
  <c r="T26" i="1"/>
  <c r="T6" i="1"/>
  <c r="T37" i="1"/>
  <c r="T33" i="1"/>
  <c r="T29" i="1"/>
  <c r="T25" i="1"/>
  <c r="T21" i="1"/>
  <c r="T17" i="1"/>
  <c r="T13" i="1"/>
  <c r="T9" i="1"/>
  <c r="T5" i="1"/>
  <c r="T30" i="1"/>
  <c r="T22" i="1"/>
  <c r="T14" i="1"/>
  <c r="T2" i="1"/>
  <c r="T36" i="1"/>
  <c r="T32" i="1"/>
  <c r="T28" i="1"/>
  <c r="T24" i="1"/>
  <c r="T20" i="1"/>
  <c r="T16" i="1"/>
  <c r="T12" i="1"/>
  <c r="T8" i="1"/>
  <c r="T4" i="1"/>
  <c r="T34" i="1"/>
  <c r="T18" i="1"/>
  <c r="T39" i="1"/>
  <c r="T35" i="1"/>
  <c r="T31" i="1"/>
  <c r="T27" i="1"/>
  <c r="T23" i="1"/>
  <c r="T19" i="1"/>
  <c r="T15" i="1"/>
  <c r="T11" i="1"/>
  <c r="T7" i="1"/>
  <c r="W2" i="1"/>
  <c r="W6" i="1"/>
  <c r="W10" i="1"/>
  <c r="W14" i="1"/>
  <c r="W18" i="1"/>
  <c r="W22" i="1"/>
  <c r="W26" i="1"/>
  <c r="AB26" i="1" s="1"/>
  <c r="W30" i="1"/>
  <c r="W34" i="1"/>
  <c r="W38" i="1"/>
  <c r="S3" i="1"/>
  <c r="AA2" i="1"/>
  <c r="Q4" i="1"/>
  <c r="Y4" i="1"/>
  <c r="Q8" i="1"/>
  <c r="Y8" i="1"/>
  <c r="Q12" i="1"/>
  <c r="Y12" i="1"/>
  <c r="Q16" i="1"/>
  <c r="Y16" i="1"/>
  <c r="Q20" i="1"/>
  <c r="Y20" i="1"/>
  <c r="Q24" i="1"/>
  <c r="Y24" i="1"/>
  <c r="Q28" i="1"/>
  <c r="Y28" i="1"/>
  <c r="Q32" i="1"/>
  <c r="Y32" i="1"/>
  <c r="Q36" i="1"/>
  <c r="Y36" i="1"/>
  <c r="S34" i="1"/>
  <c r="S26" i="1"/>
  <c r="S18" i="1"/>
  <c r="S10" i="1"/>
  <c r="S37" i="1"/>
  <c r="S29" i="1"/>
  <c r="S21" i="1"/>
  <c r="S13" i="1"/>
  <c r="S9" i="1"/>
  <c r="AA4" i="1"/>
  <c r="W5" i="1"/>
  <c r="S2" i="1"/>
  <c r="S36" i="1"/>
  <c r="S32" i="1"/>
  <c r="S28" i="1"/>
  <c r="S24" i="1"/>
  <c r="S20" i="1"/>
  <c r="S16" i="1"/>
  <c r="S12" i="1"/>
  <c r="S8" i="1"/>
  <c r="S4" i="1"/>
  <c r="S38" i="1"/>
  <c r="S30" i="1"/>
  <c r="S22" i="1"/>
  <c r="S14" i="1"/>
  <c r="S6" i="1"/>
  <c r="S33" i="1"/>
  <c r="S25" i="1"/>
  <c r="S17" i="1"/>
  <c r="S5" i="1"/>
  <c r="Y2" i="1"/>
  <c r="Y3" i="1"/>
  <c r="Y7" i="1"/>
  <c r="Y11" i="1"/>
  <c r="Y15" i="1"/>
  <c r="Y23" i="1"/>
  <c r="Q27" i="1"/>
  <c r="Q31" i="1"/>
  <c r="Y31" i="1"/>
  <c r="Q35" i="1"/>
  <c r="Q39" i="1"/>
  <c r="Y39" i="1"/>
  <c r="S39" i="1"/>
  <c r="S35" i="1"/>
  <c r="S31" i="1"/>
  <c r="S27" i="1"/>
  <c r="S23" i="1"/>
  <c r="S19" i="1"/>
  <c r="S15" i="1"/>
  <c r="S11" i="1"/>
  <c r="S7" i="1"/>
  <c r="Q6" i="1"/>
  <c r="W8" i="1"/>
  <c r="Q9" i="1"/>
  <c r="AA10" i="1"/>
  <c r="Q14" i="1"/>
  <c r="Q17" i="1"/>
  <c r="AA18" i="1"/>
  <c r="Q22" i="1"/>
  <c r="Q25" i="1"/>
  <c r="AA26" i="1"/>
  <c r="Q30" i="1"/>
  <c r="Q33" i="1"/>
  <c r="AA34" i="1"/>
  <c r="Q38" i="1"/>
  <c r="Y19" i="1"/>
  <c r="Y27" i="1"/>
  <c r="Y35" i="1"/>
  <c r="W4" i="1"/>
  <c r="AB4" i="1" s="1"/>
  <c r="Q5" i="1"/>
  <c r="AA6" i="1"/>
  <c r="Q10" i="1"/>
  <c r="Q13" i="1"/>
  <c r="AA14" i="1"/>
  <c r="Q18" i="1"/>
  <c r="Q21" i="1"/>
  <c r="AA22" i="1"/>
  <c r="Q26" i="1"/>
  <c r="Q29" i="1"/>
  <c r="AA30" i="1"/>
  <c r="Q34" i="1"/>
  <c r="Q37" i="1"/>
  <c r="AA38" i="1"/>
  <c r="AA5" i="1"/>
  <c r="AA9" i="1"/>
  <c r="AA13" i="1"/>
  <c r="AA17" i="1"/>
  <c r="AA21" i="1"/>
  <c r="AA25" i="1"/>
  <c r="AA29" i="1"/>
  <c r="W31" i="1"/>
  <c r="AB31" i="1" s="1"/>
  <c r="AA33" i="1"/>
  <c r="W35" i="1"/>
  <c r="AB35" i="1" s="1"/>
  <c r="AA37" i="1"/>
  <c r="W39" i="1"/>
  <c r="AB2" i="1"/>
  <c r="Q3" i="1"/>
  <c r="Y6" i="1"/>
  <c r="Q7" i="1"/>
  <c r="AA8" i="1"/>
  <c r="W9" i="1"/>
  <c r="Y10" i="1"/>
  <c r="Q11" i="1"/>
  <c r="AA12" i="1"/>
  <c r="W13" i="1"/>
  <c r="Y14" i="1"/>
  <c r="AB14" i="1" s="1"/>
  <c r="Q15" i="1"/>
  <c r="AA16" i="1"/>
  <c r="W17" i="1"/>
  <c r="Y18" i="1"/>
  <c r="AB18" i="1" s="1"/>
  <c r="Q19" i="1"/>
  <c r="AA20" i="1"/>
  <c r="W21" i="1"/>
  <c r="Y22" i="1"/>
  <c r="Q23" i="1"/>
  <c r="AA24" i="1"/>
  <c r="W25" i="1"/>
  <c r="Y26" i="1"/>
  <c r="AA28" i="1"/>
  <c r="W29" i="1"/>
  <c r="AB29" i="1" s="1"/>
  <c r="AA31" i="1"/>
  <c r="W33" i="1"/>
  <c r="AA35" i="1"/>
  <c r="W37" i="1"/>
  <c r="AA39" i="1"/>
  <c r="W12" i="1"/>
  <c r="W16" i="1"/>
  <c r="W20" i="1"/>
  <c r="AB20" i="1" s="1"/>
  <c r="W24" i="1"/>
  <c r="W28" i="1"/>
  <c r="Y33" i="1"/>
  <c r="Y37" i="1"/>
  <c r="Y30" i="1"/>
  <c r="W32" i="1"/>
  <c r="AA32" i="1"/>
  <c r="Y34" i="1"/>
  <c r="AB34" i="1" s="1"/>
  <c r="W36" i="1"/>
  <c r="AA36" i="1"/>
  <c r="Y38" i="1"/>
  <c r="AB38" i="1" s="1"/>
  <c r="W3" i="1"/>
  <c r="AA3" i="1"/>
  <c r="Y5" i="1"/>
  <c r="W7" i="1"/>
  <c r="AA7" i="1"/>
  <c r="Y9" i="1"/>
  <c r="W11" i="1"/>
  <c r="AA11" i="1"/>
  <c r="Y13" i="1"/>
  <c r="W15" i="1"/>
  <c r="AA15" i="1"/>
  <c r="Y17" i="1"/>
  <c r="W19" i="1"/>
  <c r="AA19" i="1"/>
  <c r="Y21" i="1"/>
  <c r="W23" i="1"/>
  <c r="AA23" i="1"/>
  <c r="Y25" i="1"/>
  <c r="W27" i="1"/>
  <c r="AA27" i="1"/>
  <c r="AB28" i="1" l="1"/>
  <c r="AB12" i="1"/>
  <c r="AB36" i="1"/>
  <c r="AB22" i="1"/>
  <c r="AB10" i="1"/>
  <c r="AB6" i="1"/>
  <c r="AB8" i="1"/>
  <c r="AB16" i="1"/>
  <c r="AB21" i="1"/>
  <c r="AB11" i="1"/>
  <c r="AB32" i="1"/>
  <c r="AB30" i="1"/>
  <c r="AB19" i="1"/>
  <c r="AB24" i="1"/>
  <c r="AB37" i="1"/>
  <c r="AB17" i="1"/>
  <c r="AB7" i="1"/>
  <c r="AB39" i="1"/>
  <c r="AB23" i="1"/>
  <c r="AB27" i="1"/>
  <c r="AB5" i="1"/>
  <c r="AB15" i="1"/>
  <c r="AB3" i="1"/>
  <c r="AB33" i="1"/>
  <c r="AB25" i="1"/>
  <c r="AB9" i="1"/>
  <c r="AB13" i="1"/>
  <c r="Q2" i="1"/>
</calcChain>
</file>

<file path=xl/sharedStrings.xml><?xml version="1.0" encoding="utf-8"?>
<sst xmlns="http://schemas.openxmlformats.org/spreadsheetml/2006/main" count="509" uniqueCount="49">
  <si>
    <t>Present %</t>
  </si>
  <si>
    <t>Present-Online %</t>
  </si>
  <si>
    <t>Absent %</t>
  </si>
  <si>
    <t xml:space="preserve">Total </t>
  </si>
  <si>
    <t>Present</t>
  </si>
  <si>
    <t>Present-Online</t>
  </si>
  <si>
    <t xml:space="preserve">Absent </t>
  </si>
  <si>
    <t xml:space="preserve"> Total Classes attended</t>
  </si>
  <si>
    <t>Total Classes Conducted</t>
  </si>
  <si>
    <t xml:space="preserve">
AISHWARIYA</t>
  </si>
  <si>
    <t>No-Class</t>
  </si>
  <si>
    <t>Present-online</t>
  </si>
  <si>
    <t xml:space="preserve">
Kirti</t>
  </si>
  <si>
    <t>Absent</t>
  </si>
  <si>
    <t xml:space="preserve">
VEDANT </t>
  </si>
  <si>
    <t xml:space="preserve">Pranoti </t>
  </si>
  <si>
    <t xml:space="preserve">srushti </t>
  </si>
  <si>
    <t>Himanshu</t>
  </si>
  <si>
    <t xml:space="preserve">Sarthak 
</t>
  </si>
  <si>
    <t xml:space="preserve">
Sai Pavan </t>
  </si>
  <si>
    <t>Manoj</t>
  </si>
  <si>
    <t>Todmal Krushna</t>
  </si>
  <si>
    <t>Shivraj</t>
  </si>
  <si>
    <t xml:space="preserve">
Siddharth Santosh</t>
  </si>
  <si>
    <t>Rushikesh</t>
  </si>
  <si>
    <t xml:space="preserve">
Pratik</t>
  </si>
  <si>
    <t xml:space="preserve">
Shruti </t>
  </si>
  <si>
    <t>Mohit</t>
  </si>
  <si>
    <t xml:space="preserve">Tejas </t>
  </si>
  <si>
    <t xml:space="preserve">Siddesh </t>
  </si>
  <si>
    <t xml:space="preserve">
Madhura </t>
  </si>
  <si>
    <t>Prashant</t>
  </si>
  <si>
    <t xml:space="preserve">
Tejas  </t>
  </si>
  <si>
    <t>Siddhi</t>
  </si>
  <si>
    <t>Onkar</t>
  </si>
  <si>
    <t xml:space="preserve">Prince </t>
  </si>
  <si>
    <t xml:space="preserve">Rohit </t>
  </si>
  <si>
    <t>Rohan</t>
  </si>
  <si>
    <t>Sudarshan</t>
  </si>
  <si>
    <t>Gaurav</t>
  </si>
  <si>
    <t>Akash</t>
  </si>
  <si>
    <t>Vaishnavi</t>
  </si>
  <si>
    <t>Akshay</t>
  </si>
  <si>
    <t>Manish</t>
  </si>
  <si>
    <t>Hemant</t>
  </si>
  <si>
    <t>Chaitanya</t>
  </si>
  <si>
    <t xml:space="preserve">Swanand </t>
  </si>
  <si>
    <t>Leena</t>
  </si>
  <si>
    <t>using workday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</si>
</sst>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2" borderId="1" xfId="0" applyFill="1" applyBorder="1"/>
    <xf numFmtId="9" fontId="0" fillId="0" borderId="0" xfId="1" applyFont="1" applyBorder="1"/>
    <xf numFmtId="0" fontId="0" fillId="0" borderId="0" xfId="1" applyNumberFormat="1" applyFont="1"/>
    <xf numFmtId="9" fontId="0" fillId="0" borderId="0" xfId="1" applyFont="1"/>
    <xf numFmtId="9" fontId="0" fillId="0" borderId="0" xfId="0" applyNumberForma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9"/>
  <sheetViews>
    <sheetView tabSelected="1" topLeftCell="N1" zoomScale="110" workbookViewId="0">
      <selection activeCell="S3" sqref="S3"/>
    </sheetView>
  </sheetViews>
  <sheetFormatPr defaultRowHeight="14.5" x14ac:dyDescent="0.35"/>
  <cols>
    <col min="1" max="1" width="17.26953125" bestFit="1" customWidth="1"/>
    <col min="2" max="5" width="13.08984375" bestFit="1" customWidth="1"/>
    <col min="6" max="6" width="15.36328125" customWidth="1"/>
    <col min="7" max="9" width="13.08984375" bestFit="1" customWidth="1"/>
    <col min="10" max="10" width="12.6328125" bestFit="1" customWidth="1"/>
    <col min="11" max="11" width="10.54296875" customWidth="1"/>
    <col min="12" max="12" width="11.7265625" customWidth="1"/>
    <col min="13" max="13" width="13.08984375" bestFit="1" customWidth="1"/>
    <col min="14" max="14" width="13.08984375" customWidth="1"/>
    <col min="15" max="15" width="15.26953125" bestFit="1" customWidth="1"/>
    <col min="16" max="17" width="15.26953125" customWidth="1"/>
    <col min="18" max="18" width="25.1796875" customWidth="1"/>
    <col min="19" max="19" width="13.08984375" style="6" customWidth="1"/>
    <col min="20" max="20" width="15.1796875" style="6" bestFit="1" customWidth="1"/>
    <col min="21" max="21" width="15.26953125" customWidth="1"/>
    <col min="22" max="23" width="13.08984375" customWidth="1"/>
    <col min="24" max="24" width="13.08984375" bestFit="1" customWidth="1"/>
    <col min="25" max="25" width="16.1796875" bestFit="1" customWidth="1"/>
    <col min="28" max="28" width="19.453125" customWidth="1"/>
    <col min="30" max="30" width="24.453125" customWidth="1"/>
  </cols>
  <sheetData>
    <row r="1" spans="1:30" x14ac:dyDescent="0.35">
      <c r="B1" s="1">
        <f>DATE(2026,1,21)</f>
        <v>46043</v>
      </c>
      <c r="C1" s="1">
        <f>DATE(2026,1,22)</f>
        <v>46044</v>
      </c>
      <c r="D1" s="1">
        <f>DATE(2026,1,23)</f>
        <v>46045</v>
      </c>
      <c r="E1" s="1">
        <f>DATE(2026,1,24)</f>
        <v>46046</v>
      </c>
      <c r="F1" s="1">
        <f>DATE(2026,1,25)</f>
        <v>46047</v>
      </c>
      <c r="G1" s="1">
        <f>DATE(2026,1,26)</f>
        <v>46048</v>
      </c>
      <c r="H1" s="1">
        <f>DATE(2026,1,27)</f>
        <v>46049</v>
      </c>
      <c r="I1" s="1">
        <f>DATE(2026,1,28)</f>
        <v>46050</v>
      </c>
      <c r="J1" s="1">
        <f>DATE(2026,1,29)</f>
        <v>46051</v>
      </c>
      <c r="K1" s="1">
        <f>DATE(2026,1,30)</f>
        <v>46052</v>
      </c>
      <c r="L1" s="1">
        <f>DATE(2026,1,31)</f>
        <v>46053</v>
      </c>
      <c r="M1" s="1">
        <f>DATE(2026,2,1)</f>
        <v>46054</v>
      </c>
      <c r="N1" s="1" t="s">
        <v>0</v>
      </c>
      <c r="O1" s="1" t="s">
        <v>1</v>
      </c>
      <c r="P1" s="1" t="s">
        <v>2</v>
      </c>
      <c r="Q1" s="1" t="s">
        <v>3</v>
      </c>
      <c r="R1" s="1" t="s">
        <v>48</v>
      </c>
      <c r="S1" s="6" t="s">
        <v>0</v>
      </c>
      <c r="T1" s="6" t="s">
        <v>1</v>
      </c>
      <c r="U1" s="1"/>
      <c r="V1" s="1" t="s">
        <v>4</v>
      </c>
      <c r="W1" s="1" t="s">
        <v>0</v>
      </c>
      <c r="X1" t="s">
        <v>5</v>
      </c>
      <c r="Y1" t="s">
        <v>1</v>
      </c>
      <c r="Z1" t="s">
        <v>6</v>
      </c>
      <c r="AA1" t="s">
        <v>2</v>
      </c>
      <c r="AB1" t="s">
        <v>7</v>
      </c>
      <c r="AD1" t="s">
        <v>8</v>
      </c>
    </row>
    <row r="2" spans="1:30" x14ac:dyDescent="0.35">
      <c r="A2" s="2" t="s">
        <v>9</v>
      </c>
      <c r="B2" s="2" t="s">
        <v>4</v>
      </c>
      <c r="C2" s="2" t="s">
        <v>4</v>
      </c>
      <c r="D2" s="2" t="s">
        <v>5</v>
      </c>
      <c r="E2" s="3" t="s">
        <v>5</v>
      </c>
      <c r="F2" s="2" t="s">
        <v>10</v>
      </c>
      <c r="G2" s="2" t="s">
        <v>5</v>
      </c>
      <c r="H2" s="2" t="s">
        <v>4</v>
      </c>
      <c r="I2" s="2" t="s">
        <v>11</v>
      </c>
      <c r="J2" s="2" t="s">
        <v>4</v>
      </c>
      <c r="K2" s="2" t="s">
        <v>10</v>
      </c>
      <c r="L2" s="2" t="s">
        <v>10</v>
      </c>
      <c r="M2" s="2" t="s">
        <v>4</v>
      </c>
      <c r="N2" s="4">
        <f>COUNTIF(B2:M2,"Present")/COUNTIF(B2:M2,"&lt;&gt;No-Class")</f>
        <v>0.55555555555555558</v>
      </c>
      <c r="O2" s="4">
        <f>COUNTIF(B2:M2,"Present-Online")/COUNTIF(B2:M2,"&lt;&gt;No-Class")</f>
        <v>0.44444444444444442</v>
      </c>
      <c r="P2" s="4">
        <f>COUNTIF(B2:M2,"Absent")/COUNTIF(B2:M2,"&lt;&gt;No-Class")</f>
        <v>0</v>
      </c>
      <c r="Q2" s="4">
        <f>N2+O2</f>
        <v>1</v>
      </c>
      <c r="R2" s="4"/>
      <c r="S2" s="4">
        <f>COUNTIF(B2:M2,"Present")/NETWORKDAYS($B$1,$M$1)</f>
        <v>0.625</v>
      </c>
      <c r="T2" s="4">
        <f>COUNTIF(B2:M2,"Present-Online")/NETWORKDAYS($B$1,$M$1)</f>
        <v>0.5</v>
      </c>
      <c r="U2" s="4"/>
      <c r="V2">
        <f>COUNTIF(B2:M2,"Present")</f>
        <v>5</v>
      </c>
      <c r="W2" s="4">
        <f>V2/$AD$2</f>
        <v>0.55555555555555558</v>
      </c>
      <c r="X2" s="5">
        <f>COUNTIF(B2:M2,"Present-Online")</f>
        <v>4</v>
      </c>
      <c r="Y2" s="6">
        <f>X2/$AD$2</f>
        <v>0.44444444444444442</v>
      </c>
      <c r="Z2">
        <f>COUNTIF(B2:M2,"Absent")</f>
        <v>0</v>
      </c>
      <c r="AA2" s="6">
        <f>Z2/$AD$2</f>
        <v>0</v>
      </c>
      <c r="AB2" s="7">
        <f>W2+Y2</f>
        <v>1</v>
      </c>
      <c r="AD2">
        <f>COUNTIF(B2:M2,"&lt;&gt;No-Class")</f>
        <v>9</v>
      </c>
    </row>
    <row r="3" spans="1:30" x14ac:dyDescent="0.35">
      <c r="A3" s="2" t="s">
        <v>12</v>
      </c>
      <c r="B3" s="2" t="s">
        <v>4</v>
      </c>
      <c r="C3" s="2" t="s">
        <v>5</v>
      </c>
      <c r="D3" s="2" t="s">
        <v>13</v>
      </c>
      <c r="E3" s="3" t="s">
        <v>5</v>
      </c>
      <c r="F3" s="2" t="s">
        <v>10</v>
      </c>
      <c r="G3" s="2" t="s">
        <v>5</v>
      </c>
      <c r="H3" s="2" t="s">
        <v>13</v>
      </c>
      <c r="I3" s="2" t="s">
        <v>5</v>
      </c>
      <c r="J3" s="2" t="s">
        <v>11</v>
      </c>
      <c r="K3" s="2" t="s">
        <v>10</v>
      </c>
      <c r="L3" s="2" t="s">
        <v>10</v>
      </c>
      <c r="M3" s="2" t="s">
        <v>13</v>
      </c>
      <c r="N3" s="4">
        <f>COUNTIF(B3:M3,"Present")/COUNTIF(B3:M3,"&lt;&gt;No-Class")</f>
        <v>0.1111111111111111</v>
      </c>
      <c r="O3" s="4">
        <f>COUNTIF(B3:M3,"Present-Online")/COUNTIF(B3:M3,"&lt;&gt;No-Class")</f>
        <v>0.55555555555555558</v>
      </c>
      <c r="P3" s="4">
        <f>COUNTIF(B3:M3,"Absent")/COUNTIF(B3:M3,"&lt;&gt;No-Class")</f>
        <v>0.33333333333333331</v>
      </c>
      <c r="Q3" s="4">
        <f t="shared" ref="Q3:Q39" si="0">N3+O3</f>
        <v>0.66666666666666674</v>
      </c>
      <c r="R3" s="4"/>
      <c r="S3" s="4">
        <f>COUNTIF(B3:M3,"Present")/NETWORKDAYS($B$1,$M$1)</f>
        <v>0.125</v>
      </c>
      <c r="T3" s="4">
        <f>COUNTIF(B3:M3,"Present-Online")/NETWORKDAYS($B$1,$M$1)</f>
        <v>0.625</v>
      </c>
      <c r="V3">
        <f>COUNTIF(B3:M3,"Present")</f>
        <v>1</v>
      </c>
      <c r="W3" s="4">
        <f t="shared" ref="W3:W39" si="1">V3/$AD$2</f>
        <v>0.1111111111111111</v>
      </c>
      <c r="X3" s="5">
        <f>COUNTIF(B3:M3,"Present-Online")</f>
        <v>5</v>
      </c>
      <c r="Y3" s="6">
        <f t="shared" ref="Y3:Y39" si="2">X3/$AD$2</f>
        <v>0.55555555555555558</v>
      </c>
      <c r="Z3">
        <f>COUNTIF(B3:M3,"Absent")</f>
        <v>3</v>
      </c>
      <c r="AA3" s="6">
        <f t="shared" ref="AA3:AA39" si="3">Z3/$AD$2</f>
        <v>0.33333333333333331</v>
      </c>
      <c r="AB3" s="7">
        <f t="shared" ref="AB3:AB39" si="4">W3+Y3</f>
        <v>0.66666666666666674</v>
      </c>
    </row>
    <row r="4" spans="1:30" x14ac:dyDescent="0.35">
      <c r="A4" s="2" t="s">
        <v>14</v>
      </c>
      <c r="B4" s="2" t="s">
        <v>4</v>
      </c>
      <c r="C4" s="2" t="s">
        <v>13</v>
      </c>
      <c r="D4" s="2" t="s">
        <v>13</v>
      </c>
      <c r="E4" s="3" t="s">
        <v>5</v>
      </c>
      <c r="F4" s="2" t="s">
        <v>10</v>
      </c>
      <c r="G4" s="2" t="s">
        <v>5</v>
      </c>
      <c r="H4" s="2" t="s">
        <v>5</v>
      </c>
      <c r="I4" s="2" t="s">
        <v>13</v>
      </c>
      <c r="J4" s="2" t="s">
        <v>11</v>
      </c>
      <c r="K4" s="2" t="s">
        <v>10</v>
      </c>
      <c r="L4" s="2" t="s">
        <v>10</v>
      </c>
      <c r="M4" s="2" t="s">
        <v>13</v>
      </c>
      <c r="N4" s="4">
        <f>COUNTIF(B4:M4,"Present")/COUNTIF(B4:M4,"&lt;&gt;No-Class")</f>
        <v>0.1111111111111111</v>
      </c>
      <c r="O4" s="4">
        <f>COUNTIF(B4:M4,"Present-Online")/COUNTIF(B4:M4,"&lt;&gt;No-Class")</f>
        <v>0.44444444444444442</v>
      </c>
      <c r="P4" s="4">
        <f>COUNTIF(B4:M4,"Absent")/COUNTIF(B4:M4,"&lt;&gt;No-Class")</f>
        <v>0.44444444444444442</v>
      </c>
      <c r="Q4" s="4">
        <f t="shared" si="0"/>
        <v>0.55555555555555558</v>
      </c>
      <c r="R4" s="4"/>
      <c r="S4" s="4">
        <f>COUNTIF(B4:M4,"Present")/NETWORKDAYS($B$1,$M$1)</f>
        <v>0.125</v>
      </c>
      <c r="T4" s="4">
        <f>COUNTIF(B4:M4,"Present-Online")/NETWORKDAYS($B$1,$M$1)</f>
        <v>0.5</v>
      </c>
      <c r="V4">
        <f>COUNTIF(B4:M4,"Present")</f>
        <v>1</v>
      </c>
      <c r="W4" s="4">
        <f t="shared" si="1"/>
        <v>0.1111111111111111</v>
      </c>
      <c r="X4" s="5">
        <f>COUNTIF(B4:M4,"Present-Online")</f>
        <v>4</v>
      </c>
      <c r="Y4" s="6">
        <f t="shared" si="2"/>
        <v>0.44444444444444442</v>
      </c>
      <c r="Z4">
        <f>COUNTIF(B4:M4,"Absent")</f>
        <v>4</v>
      </c>
      <c r="AA4" s="6">
        <f t="shared" si="3"/>
        <v>0.44444444444444442</v>
      </c>
      <c r="AB4" s="7">
        <f t="shared" si="4"/>
        <v>0.55555555555555558</v>
      </c>
    </row>
    <row r="5" spans="1:30" x14ac:dyDescent="0.35">
      <c r="A5" s="2" t="s">
        <v>15</v>
      </c>
      <c r="B5" s="2" t="s">
        <v>5</v>
      </c>
      <c r="C5" s="2" t="s">
        <v>5</v>
      </c>
      <c r="D5" s="2" t="s">
        <v>5</v>
      </c>
      <c r="E5" s="3" t="s">
        <v>5</v>
      </c>
      <c r="F5" s="2" t="s">
        <v>10</v>
      </c>
      <c r="G5" s="2" t="s">
        <v>5</v>
      </c>
      <c r="H5" s="2" t="s">
        <v>5</v>
      </c>
      <c r="I5" s="2" t="s">
        <v>5</v>
      </c>
      <c r="J5" s="2" t="s">
        <v>11</v>
      </c>
      <c r="K5" s="2" t="s">
        <v>10</v>
      </c>
      <c r="L5" s="2" t="s">
        <v>10</v>
      </c>
      <c r="M5" s="2" t="s">
        <v>5</v>
      </c>
      <c r="N5" s="4">
        <f>COUNTIF(B5:M5,"Present")/COUNTIF(B5:M5,"&lt;&gt;No-Class")</f>
        <v>0</v>
      </c>
      <c r="O5" s="4">
        <f>COUNTIF(B5:M5,"Present-Online")/COUNTIF(B5:M5,"&lt;&gt;No-Class")</f>
        <v>1</v>
      </c>
      <c r="P5" s="4">
        <f>COUNTIF(B5:M5,"Absent")/COUNTIF(B5:M5,"&lt;&gt;No-Class")</f>
        <v>0</v>
      </c>
      <c r="Q5" s="4">
        <f t="shared" si="0"/>
        <v>1</v>
      </c>
      <c r="R5" s="4"/>
      <c r="S5" s="4">
        <f>COUNTIF(B5:M5,"Present")/NETWORKDAYS($B$1,$M$1)</f>
        <v>0</v>
      </c>
      <c r="T5" s="4">
        <f>COUNTIF(B5:M5,"Present-Online")/NETWORKDAYS($B$1,$M$1)</f>
        <v>1.125</v>
      </c>
      <c r="V5">
        <f>COUNTIF(B5:M5,"Present")</f>
        <v>0</v>
      </c>
      <c r="W5" s="4">
        <f t="shared" si="1"/>
        <v>0</v>
      </c>
      <c r="X5" s="5">
        <f>COUNTIF(B5:M5,"Present-Online")</f>
        <v>9</v>
      </c>
      <c r="Y5" s="6">
        <f t="shared" si="2"/>
        <v>1</v>
      </c>
      <c r="Z5">
        <f>COUNTIF(B5:M5,"Absent")</f>
        <v>0</v>
      </c>
      <c r="AA5" s="6">
        <f t="shared" si="3"/>
        <v>0</v>
      </c>
      <c r="AB5" s="7">
        <f t="shared" si="4"/>
        <v>1</v>
      </c>
    </row>
    <row r="6" spans="1:30" x14ac:dyDescent="0.35">
      <c r="A6" s="2" t="s">
        <v>16</v>
      </c>
      <c r="B6" s="2" t="s">
        <v>5</v>
      </c>
      <c r="C6" s="2" t="s">
        <v>5</v>
      </c>
      <c r="D6" s="2" t="s">
        <v>5</v>
      </c>
      <c r="E6" s="3" t="s">
        <v>5</v>
      </c>
      <c r="F6" s="2" t="s">
        <v>10</v>
      </c>
      <c r="G6" s="2" t="s">
        <v>5</v>
      </c>
      <c r="H6" s="2" t="s">
        <v>5</v>
      </c>
      <c r="I6" s="2" t="s">
        <v>5</v>
      </c>
      <c r="J6" s="2" t="s">
        <v>11</v>
      </c>
      <c r="K6" s="2" t="s">
        <v>10</v>
      </c>
      <c r="L6" s="2" t="s">
        <v>10</v>
      </c>
      <c r="M6" s="2" t="s">
        <v>5</v>
      </c>
      <c r="N6" s="4">
        <f>COUNTIF(B6:M6,"Present")/COUNTIF(B6:M6,"&lt;&gt;No-Class")</f>
        <v>0</v>
      </c>
      <c r="O6" s="4">
        <f>COUNTIF(B6:M6,"Present-Online")/COUNTIF(B6:M6,"&lt;&gt;No-Class")</f>
        <v>1</v>
      </c>
      <c r="P6" s="4">
        <f>COUNTIF(B6:M6,"Absent")/COUNTIF(B6:M6,"&lt;&gt;No-Class")</f>
        <v>0</v>
      </c>
      <c r="Q6" s="4">
        <f t="shared" si="0"/>
        <v>1</v>
      </c>
      <c r="R6" s="4"/>
      <c r="S6" s="4">
        <f>COUNTIF(B6:M6,"Present")/NETWORKDAYS($B$1,$M$1)</f>
        <v>0</v>
      </c>
      <c r="T6" s="4">
        <f>COUNTIF(B6:M6,"Present-Online")/NETWORKDAYS($B$1,$M$1)</f>
        <v>1.125</v>
      </c>
      <c r="V6">
        <f>COUNTIF(B6:M6,"Present")</f>
        <v>0</v>
      </c>
      <c r="W6" s="4">
        <f t="shared" si="1"/>
        <v>0</v>
      </c>
      <c r="X6" s="5">
        <f>COUNTIF(B6:M6,"Present-Online")</f>
        <v>9</v>
      </c>
      <c r="Y6" s="6">
        <f t="shared" si="2"/>
        <v>1</v>
      </c>
      <c r="Z6">
        <f>COUNTIF(B6:M6,"Absent")</f>
        <v>0</v>
      </c>
      <c r="AA6" s="6">
        <f t="shared" si="3"/>
        <v>0</v>
      </c>
      <c r="AB6" s="7">
        <f t="shared" si="4"/>
        <v>1</v>
      </c>
    </row>
    <row r="7" spans="1:30" x14ac:dyDescent="0.35">
      <c r="A7" s="2" t="s">
        <v>17</v>
      </c>
      <c r="B7" s="2" t="s">
        <v>4</v>
      </c>
      <c r="C7" s="2" t="s">
        <v>4</v>
      </c>
      <c r="D7" s="2" t="s">
        <v>4</v>
      </c>
      <c r="E7" s="3" t="s">
        <v>5</v>
      </c>
      <c r="F7" s="2" t="s">
        <v>10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10</v>
      </c>
      <c r="L7" s="2" t="s">
        <v>10</v>
      </c>
      <c r="M7" s="2" t="s">
        <v>4</v>
      </c>
      <c r="N7" s="4">
        <f>COUNTIF(B7:M7,"Present")/COUNTIF(B7:M7,"&lt;&gt;No-Class")</f>
        <v>0.88888888888888884</v>
      </c>
      <c r="O7" s="4">
        <f>COUNTIF(B7:M7,"Present-Online")/COUNTIF(B7:M7,"&lt;&gt;No-Class")</f>
        <v>0.1111111111111111</v>
      </c>
      <c r="P7" s="4">
        <f>COUNTIF(B7:M7,"Absent")/COUNTIF(B7:M7,"&lt;&gt;No-Class")</f>
        <v>0</v>
      </c>
      <c r="Q7" s="4">
        <f t="shared" si="0"/>
        <v>1</v>
      </c>
      <c r="R7" s="4"/>
      <c r="S7" s="4">
        <f>COUNTIF(B7:M7,"Present")/NETWORKDAYS($B$1,$M$1)</f>
        <v>1</v>
      </c>
      <c r="T7" s="4">
        <f>COUNTIF(B7:M7,"Present-Online")/NETWORKDAYS($B$1,$M$1)</f>
        <v>0.125</v>
      </c>
      <c r="V7">
        <f>COUNTIF(B7:M7,"Present")</f>
        <v>8</v>
      </c>
      <c r="W7" s="4">
        <f t="shared" si="1"/>
        <v>0.88888888888888884</v>
      </c>
      <c r="X7" s="5">
        <f>COUNTIF(B7:M7,"Present-Online")</f>
        <v>1</v>
      </c>
      <c r="Y7" s="6">
        <f t="shared" si="2"/>
        <v>0.1111111111111111</v>
      </c>
      <c r="Z7">
        <f>COUNTIF(B7:M7,"Absent")</f>
        <v>0</v>
      </c>
      <c r="AA7" s="6">
        <f t="shared" si="3"/>
        <v>0</v>
      </c>
      <c r="AB7" s="7">
        <f t="shared" si="4"/>
        <v>1</v>
      </c>
    </row>
    <row r="8" spans="1:30" x14ac:dyDescent="0.35">
      <c r="A8" s="2" t="s">
        <v>18</v>
      </c>
      <c r="B8" s="2" t="s">
        <v>4</v>
      </c>
      <c r="C8" s="2" t="s">
        <v>4</v>
      </c>
      <c r="D8" s="2" t="s">
        <v>13</v>
      </c>
      <c r="E8" s="3" t="s">
        <v>5</v>
      </c>
      <c r="F8" s="2" t="s">
        <v>10</v>
      </c>
      <c r="G8" s="2" t="s">
        <v>5</v>
      </c>
      <c r="H8" s="2" t="s">
        <v>4</v>
      </c>
      <c r="I8" s="2" t="s">
        <v>4</v>
      </c>
      <c r="J8" s="2" t="s">
        <v>4</v>
      </c>
      <c r="K8" s="2" t="s">
        <v>10</v>
      </c>
      <c r="L8" s="2" t="s">
        <v>10</v>
      </c>
      <c r="M8" s="2" t="s">
        <v>4</v>
      </c>
      <c r="N8" s="4">
        <f>COUNTIF(B8:M8,"Present")/COUNTIF(B8:M8,"&lt;&gt;No-Class")</f>
        <v>0.66666666666666663</v>
      </c>
      <c r="O8" s="4">
        <f>COUNTIF(B8:M8,"Present-Online")/COUNTIF(B8:M8,"&lt;&gt;No-Class")</f>
        <v>0.22222222222222221</v>
      </c>
      <c r="P8" s="4">
        <f>COUNTIF(B8:M8,"Absent")/COUNTIF(B8:M8,"&lt;&gt;No-Class")</f>
        <v>0.1111111111111111</v>
      </c>
      <c r="Q8" s="4">
        <f t="shared" si="0"/>
        <v>0.88888888888888884</v>
      </c>
      <c r="R8" s="4"/>
      <c r="S8" s="4">
        <f>COUNTIF(B8:M8,"Present")/NETWORKDAYS($B$1,$M$1)</f>
        <v>0.75</v>
      </c>
      <c r="T8" s="4">
        <f>COUNTIF(B8:M8,"Present-Online")/NETWORKDAYS($B$1,$M$1)</f>
        <v>0.25</v>
      </c>
      <c r="V8">
        <f>COUNTIF(B8:M8,"Present")</f>
        <v>6</v>
      </c>
      <c r="W8" s="4">
        <f t="shared" si="1"/>
        <v>0.66666666666666663</v>
      </c>
      <c r="X8" s="5">
        <f>COUNTIF(B8:M8,"Present-Online")</f>
        <v>2</v>
      </c>
      <c r="Y8" s="6">
        <f t="shared" si="2"/>
        <v>0.22222222222222221</v>
      </c>
      <c r="Z8">
        <f>COUNTIF(B8:M8,"Absent")</f>
        <v>1</v>
      </c>
      <c r="AA8" s="6">
        <f t="shared" si="3"/>
        <v>0.1111111111111111</v>
      </c>
      <c r="AB8" s="7">
        <f t="shared" si="4"/>
        <v>0.88888888888888884</v>
      </c>
    </row>
    <row r="9" spans="1:30" x14ac:dyDescent="0.35">
      <c r="A9" s="2" t="s">
        <v>19</v>
      </c>
      <c r="B9" s="2" t="s">
        <v>4</v>
      </c>
      <c r="C9" s="2" t="s">
        <v>4</v>
      </c>
      <c r="D9" s="2" t="s">
        <v>4</v>
      </c>
      <c r="E9" s="3" t="s">
        <v>5</v>
      </c>
      <c r="F9" s="2" t="s">
        <v>10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10</v>
      </c>
      <c r="L9" s="2" t="s">
        <v>10</v>
      </c>
      <c r="M9" s="2" t="s">
        <v>4</v>
      </c>
      <c r="N9" s="4">
        <f>COUNTIF(B9:M9,"Present")/COUNTIF(B9:M9,"&lt;&gt;No-Class")</f>
        <v>0.88888888888888884</v>
      </c>
      <c r="O9" s="4">
        <f>COUNTIF(B9:M9,"Present-Online")/COUNTIF(B9:M9,"&lt;&gt;No-Class")</f>
        <v>0.1111111111111111</v>
      </c>
      <c r="P9" s="4">
        <f>COUNTIF(B9:M9,"Absent")/COUNTIF(B9:M9,"&lt;&gt;No-Class")</f>
        <v>0</v>
      </c>
      <c r="Q9" s="4">
        <f t="shared" si="0"/>
        <v>1</v>
      </c>
      <c r="R9" s="4"/>
      <c r="S9" s="4">
        <f>COUNTIF(B9:M9,"Present")/NETWORKDAYS($B$1,$M$1)</f>
        <v>1</v>
      </c>
      <c r="T9" s="4">
        <f>COUNTIF(B9:M9,"Present-Online")/NETWORKDAYS($B$1,$M$1)</f>
        <v>0.125</v>
      </c>
      <c r="V9">
        <f>COUNTIF(B9:M9,"Present")</f>
        <v>8</v>
      </c>
      <c r="W9" s="4">
        <f t="shared" si="1"/>
        <v>0.88888888888888884</v>
      </c>
      <c r="X9" s="5">
        <f>COUNTIF(B9:M9,"Present-Online")</f>
        <v>1</v>
      </c>
      <c r="Y9" s="6">
        <f t="shared" si="2"/>
        <v>0.1111111111111111</v>
      </c>
      <c r="Z9">
        <f>COUNTIF(B9:M9,"Absent")</f>
        <v>0</v>
      </c>
      <c r="AA9" s="6">
        <f t="shared" si="3"/>
        <v>0</v>
      </c>
      <c r="AB9" s="7">
        <f t="shared" si="4"/>
        <v>1</v>
      </c>
    </row>
    <row r="10" spans="1:30" x14ac:dyDescent="0.35">
      <c r="A10" s="2" t="s">
        <v>20</v>
      </c>
      <c r="B10" s="2" t="s">
        <v>4</v>
      </c>
      <c r="C10" s="2" t="s">
        <v>4</v>
      </c>
      <c r="D10" s="2" t="s">
        <v>5</v>
      </c>
      <c r="E10" s="3" t="s">
        <v>5</v>
      </c>
      <c r="F10" s="2" t="s">
        <v>10</v>
      </c>
      <c r="G10" s="2" t="s">
        <v>5</v>
      </c>
      <c r="H10" s="2" t="s">
        <v>4</v>
      </c>
      <c r="I10" s="2" t="s">
        <v>5</v>
      </c>
      <c r="J10" s="2" t="s">
        <v>4</v>
      </c>
      <c r="K10" s="2" t="s">
        <v>10</v>
      </c>
      <c r="L10" s="2" t="s">
        <v>10</v>
      </c>
      <c r="M10" s="2" t="s">
        <v>4</v>
      </c>
      <c r="N10" s="4">
        <f>COUNTIF(B10:M10,"Present")/COUNTIF(B10:M10,"&lt;&gt;No-Class")</f>
        <v>0.55555555555555558</v>
      </c>
      <c r="O10" s="4">
        <f>COUNTIF(B10:M10,"Present-Online")/COUNTIF(B10:M10,"&lt;&gt;No-Class")</f>
        <v>0.44444444444444442</v>
      </c>
      <c r="P10" s="4">
        <f>COUNTIF(B10:M10,"Absent")/COUNTIF(B10:M10,"&lt;&gt;No-Class")</f>
        <v>0</v>
      </c>
      <c r="Q10" s="4">
        <f t="shared" si="0"/>
        <v>1</v>
      </c>
      <c r="R10" s="4"/>
      <c r="S10" s="4">
        <f>COUNTIF(B10:M10,"Present")/NETWORKDAYS($B$1,$M$1)</f>
        <v>0.625</v>
      </c>
      <c r="T10" s="4">
        <f>COUNTIF(B10:M10,"Present-Online")/NETWORKDAYS($B$1,$M$1)</f>
        <v>0.5</v>
      </c>
      <c r="V10">
        <f>COUNTIF(B10:M10,"Present")</f>
        <v>5</v>
      </c>
      <c r="W10" s="4">
        <f t="shared" si="1"/>
        <v>0.55555555555555558</v>
      </c>
      <c r="X10" s="5">
        <f>COUNTIF(B10:M10,"Present-Online")</f>
        <v>4</v>
      </c>
      <c r="Y10" s="6">
        <f t="shared" si="2"/>
        <v>0.44444444444444442</v>
      </c>
      <c r="Z10">
        <f>COUNTIF(B10:M10,"Absent")</f>
        <v>0</v>
      </c>
      <c r="AA10" s="6">
        <f t="shared" si="3"/>
        <v>0</v>
      </c>
      <c r="AB10" s="7">
        <f t="shared" si="4"/>
        <v>1</v>
      </c>
    </row>
    <row r="11" spans="1:30" x14ac:dyDescent="0.35">
      <c r="A11" s="2" t="s">
        <v>21</v>
      </c>
      <c r="B11" s="2" t="s">
        <v>13</v>
      </c>
      <c r="C11" s="2" t="s">
        <v>4</v>
      </c>
      <c r="D11" s="2" t="s">
        <v>5</v>
      </c>
      <c r="E11" s="3" t="s">
        <v>5</v>
      </c>
      <c r="F11" s="2" t="s">
        <v>10</v>
      </c>
      <c r="G11" s="2" t="s">
        <v>5</v>
      </c>
      <c r="H11" s="2" t="s">
        <v>4</v>
      </c>
      <c r="I11" s="2" t="s">
        <v>5</v>
      </c>
      <c r="J11" s="2" t="s">
        <v>4</v>
      </c>
      <c r="K11" s="2" t="s">
        <v>10</v>
      </c>
      <c r="L11" s="2" t="s">
        <v>10</v>
      </c>
      <c r="M11" s="2" t="s">
        <v>4</v>
      </c>
      <c r="N11" s="4">
        <f>COUNTIF(B11:M11,"Present")/COUNTIF(B11:M11,"&lt;&gt;No-Class")</f>
        <v>0.44444444444444442</v>
      </c>
      <c r="O11" s="4">
        <f>COUNTIF(B11:M11,"Present-Online")/COUNTIF(B11:M11,"&lt;&gt;No-Class")</f>
        <v>0.44444444444444442</v>
      </c>
      <c r="P11" s="4">
        <f>COUNTIF(B11:M11,"Absent")/COUNTIF(B11:M11,"&lt;&gt;No-Class")</f>
        <v>0.1111111111111111</v>
      </c>
      <c r="Q11" s="4">
        <f t="shared" si="0"/>
        <v>0.88888888888888884</v>
      </c>
      <c r="R11" s="4"/>
      <c r="S11" s="4">
        <f>COUNTIF(B11:M11,"Present")/NETWORKDAYS($B$1,$M$1)</f>
        <v>0.5</v>
      </c>
      <c r="T11" s="4">
        <f>COUNTIF(B11:M11,"Present-Online")/NETWORKDAYS($B$1,$M$1)</f>
        <v>0.5</v>
      </c>
      <c r="V11">
        <f>COUNTIF(B11:M11,"Present")</f>
        <v>4</v>
      </c>
      <c r="W11" s="4">
        <f t="shared" si="1"/>
        <v>0.44444444444444442</v>
      </c>
      <c r="X11" s="5">
        <f>COUNTIF(B11:M11,"Present-Online")</f>
        <v>4</v>
      </c>
      <c r="Y11" s="6">
        <f t="shared" si="2"/>
        <v>0.44444444444444442</v>
      </c>
      <c r="Z11">
        <f>COUNTIF(B11:M11,"Absent")</f>
        <v>1</v>
      </c>
      <c r="AA11" s="6">
        <f t="shared" si="3"/>
        <v>0.1111111111111111</v>
      </c>
      <c r="AB11" s="7">
        <f t="shared" si="4"/>
        <v>0.88888888888888884</v>
      </c>
    </row>
    <row r="12" spans="1:30" x14ac:dyDescent="0.35">
      <c r="A12" s="2" t="s">
        <v>22</v>
      </c>
      <c r="B12" s="2" t="s">
        <v>4</v>
      </c>
      <c r="C12" s="2" t="s">
        <v>4</v>
      </c>
      <c r="D12" s="2" t="s">
        <v>5</v>
      </c>
      <c r="E12" s="3" t="s">
        <v>5</v>
      </c>
      <c r="F12" s="2" t="s">
        <v>10</v>
      </c>
      <c r="G12" s="2" t="s">
        <v>5</v>
      </c>
      <c r="H12" s="2" t="s">
        <v>13</v>
      </c>
      <c r="I12" s="2" t="s">
        <v>13</v>
      </c>
      <c r="J12" s="2" t="s">
        <v>13</v>
      </c>
      <c r="K12" s="2" t="s">
        <v>10</v>
      </c>
      <c r="L12" s="2" t="s">
        <v>10</v>
      </c>
      <c r="M12" s="2" t="s">
        <v>13</v>
      </c>
      <c r="N12" s="4">
        <f>COUNTIF(B12:M12,"Present")/COUNTIF(B12:M12,"&lt;&gt;No-Class")</f>
        <v>0.22222222222222221</v>
      </c>
      <c r="O12" s="4">
        <f>COUNTIF(B12:M12,"Present-Online")/COUNTIF(B12:M12,"&lt;&gt;No-Class")</f>
        <v>0.33333333333333331</v>
      </c>
      <c r="P12" s="4">
        <f>COUNTIF(B12:M12,"Absent")/COUNTIF(B12:M12,"&lt;&gt;No-Class")</f>
        <v>0.44444444444444442</v>
      </c>
      <c r="Q12" s="4">
        <f t="shared" si="0"/>
        <v>0.55555555555555558</v>
      </c>
      <c r="R12" s="4"/>
      <c r="S12" s="4">
        <f>COUNTIF(B12:M12,"Present")/NETWORKDAYS($B$1,$M$1)</f>
        <v>0.25</v>
      </c>
      <c r="T12" s="4">
        <f>COUNTIF(B12:M12,"Present-Online")/NETWORKDAYS($B$1,$M$1)</f>
        <v>0.375</v>
      </c>
      <c r="V12">
        <f>COUNTIF(B12:M12,"Present")</f>
        <v>2</v>
      </c>
      <c r="W12" s="4">
        <f t="shared" si="1"/>
        <v>0.22222222222222221</v>
      </c>
      <c r="X12" s="5">
        <f>COUNTIF(B12:M12,"Present-Online")</f>
        <v>3</v>
      </c>
      <c r="Y12" s="6">
        <f t="shared" si="2"/>
        <v>0.33333333333333331</v>
      </c>
      <c r="Z12">
        <f>COUNTIF(B12:M12,"Absent")</f>
        <v>4</v>
      </c>
      <c r="AA12" s="6">
        <f t="shared" si="3"/>
        <v>0.44444444444444442</v>
      </c>
      <c r="AB12" s="7">
        <f t="shared" si="4"/>
        <v>0.55555555555555558</v>
      </c>
    </row>
    <row r="13" spans="1:30" x14ac:dyDescent="0.35">
      <c r="A13" s="2" t="s">
        <v>23</v>
      </c>
      <c r="B13" s="2" t="s">
        <v>4</v>
      </c>
      <c r="C13" s="2" t="s">
        <v>5</v>
      </c>
      <c r="D13" s="2" t="s">
        <v>13</v>
      </c>
      <c r="E13" s="3" t="s">
        <v>5</v>
      </c>
      <c r="F13" s="2" t="s">
        <v>10</v>
      </c>
      <c r="G13" s="2" t="s">
        <v>5</v>
      </c>
      <c r="H13" s="2" t="s">
        <v>4</v>
      </c>
      <c r="I13" s="2" t="s">
        <v>4</v>
      </c>
      <c r="J13" s="2" t="s">
        <v>4</v>
      </c>
      <c r="K13" s="2" t="s">
        <v>10</v>
      </c>
      <c r="L13" s="2" t="s">
        <v>10</v>
      </c>
      <c r="M13" s="2" t="s">
        <v>4</v>
      </c>
      <c r="N13" s="4">
        <f>COUNTIF(B13:M13,"Present")/COUNTIF(B13:M13,"&lt;&gt;No-Class")</f>
        <v>0.55555555555555558</v>
      </c>
      <c r="O13" s="4">
        <f>COUNTIF(B13:M13,"Present-Online")/COUNTIF(B13:M13,"&lt;&gt;No-Class")</f>
        <v>0.33333333333333331</v>
      </c>
      <c r="P13" s="4">
        <f>COUNTIF(B13:M13,"Absent")/COUNTIF(B13:M13,"&lt;&gt;No-Class")</f>
        <v>0.1111111111111111</v>
      </c>
      <c r="Q13" s="4">
        <f t="shared" si="0"/>
        <v>0.88888888888888884</v>
      </c>
      <c r="R13" s="4"/>
      <c r="S13" s="4">
        <f>COUNTIF(B13:M13,"Present")/NETWORKDAYS($B$1,$M$1)</f>
        <v>0.625</v>
      </c>
      <c r="T13" s="4">
        <f>COUNTIF(B13:M13,"Present-Online")/NETWORKDAYS($B$1,$M$1)</f>
        <v>0.375</v>
      </c>
      <c r="V13">
        <f>COUNTIF(B13:M13,"Present")</f>
        <v>5</v>
      </c>
      <c r="W13" s="4">
        <f t="shared" si="1"/>
        <v>0.55555555555555558</v>
      </c>
      <c r="X13" s="5">
        <f>COUNTIF(B13:M13,"Present-Online")</f>
        <v>3</v>
      </c>
      <c r="Y13" s="6">
        <f t="shared" si="2"/>
        <v>0.33333333333333331</v>
      </c>
      <c r="Z13">
        <f>COUNTIF(B13:M13,"Absent")</f>
        <v>1</v>
      </c>
      <c r="AA13" s="6">
        <f t="shared" si="3"/>
        <v>0.1111111111111111</v>
      </c>
      <c r="AB13" s="7">
        <f t="shared" si="4"/>
        <v>0.88888888888888884</v>
      </c>
    </row>
    <row r="14" spans="1:30" x14ac:dyDescent="0.35">
      <c r="A14" s="2" t="s">
        <v>24</v>
      </c>
      <c r="B14" s="2" t="s">
        <v>4</v>
      </c>
      <c r="C14" s="2" t="s">
        <v>13</v>
      </c>
      <c r="D14" s="2" t="s">
        <v>13</v>
      </c>
      <c r="E14" s="3" t="s">
        <v>5</v>
      </c>
      <c r="F14" s="2" t="s">
        <v>10</v>
      </c>
      <c r="G14" s="2" t="s">
        <v>5</v>
      </c>
      <c r="H14" s="2" t="s">
        <v>13</v>
      </c>
      <c r="I14" s="2" t="s">
        <v>5</v>
      </c>
      <c r="J14" s="2" t="s">
        <v>11</v>
      </c>
      <c r="K14" s="2" t="s">
        <v>10</v>
      </c>
      <c r="L14" s="2" t="s">
        <v>10</v>
      </c>
      <c r="M14" s="2" t="s">
        <v>13</v>
      </c>
      <c r="N14" s="4">
        <f>COUNTIF(B14:M14,"Present")/COUNTIF(B14:M14,"&lt;&gt;No-Class")</f>
        <v>0.1111111111111111</v>
      </c>
      <c r="O14" s="4">
        <f>COUNTIF(B14:M14,"Present-Online")/COUNTIF(B14:M14,"&lt;&gt;No-Class")</f>
        <v>0.44444444444444442</v>
      </c>
      <c r="P14" s="4">
        <f>COUNTIF(B14:M14,"Absent")/COUNTIF(B14:M14,"&lt;&gt;No-Class")</f>
        <v>0.44444444444444442</v>
      </c>
      <c r="Q14" s="4">
        <f t="shared" si="0"/>
        <v>0.55555555555555558</v>
      </c>
      <c r="R14" s="4"/>
      <c r="S14" s="4">
        <f>COUNTIF(B14:M14,"Present")/NETWORKDAYS($B$1,$M$1)</f>
        <v>0.125</v>
      </c>
      <c r="T14" s="4">
        <f>COUNTIF(B14:M14,"Present-Online")/NETWORKDAYS($B$1,$M$1)</f>
        <v>0.5</v>
      </c>
      <c r="V14">
        <f>COUNTIF(B14:M14,"Present")</f>
        <v>1</v>
      </c>
      <c r="W14" s="4">
        <f t="shared" si="1"/>
        <v>0.1111111111111111</v>
      </c>
      <c r="X14" s="5">
        <f>COUNTIF(B14:M14,"Present-Online")</f>
        <v>4</v>
      </c>
      <c r="Y14" s="6">
        <f t="shared" si="2"/>
        <v>0.44444444444444442</v>
      </c>
      <c r="Z14">
        <f>COUNTIF(B14:M14,"Absent")</f>
        <v>4</v>
      </c>
      <c r="AA14" s="6">
        <f t="shared" si="3"/>
        <v>0.44444444444444442</v>
      </c>
      <c r="AB14" s="7">
        <f t="shared" si="4"/>
        <v>0.55555555555555558</v>
      </c>
    </row>
    <row r="15" spans="1:30" x14ac:dyDescent="0.35">
      <c r="A15" s="2" t="s">
        <v>25</v>
      </c>
      <c r="B15" s="2" t="s">
        <v>5</v>
      </c>
      <c r="C15" s="2" t="s">
        <v>5</v>
      </c>
      <c r="D15" s="2" t="s">
        <v>5</v>
      </c>
      <c r="E15" s="3" t="s">
        <v>5</v>
      </c>
      <c r="F15" s="2" t="s">
        <v>10</v>
      </c>
      <c r="G15" s="2" t="s">
        <v>5</v>
      </c>
      <c r="H15" s="2" t="s">
        <v>4</v>
      </c>
      <c r="I15" s="2" t="s">
        <v>4</v>
      </c>
      <c r="J15" s="2" t="s">
        <v>4</v>
      </c>
      <c r="K15" s="2" t="s">
        <v>10</v>
      </c>
      <c r="L15" s="2" t="s">
        <v>10</v>
      </c>
      <c r="M15" s="2" t="s">
        <v>13</v>
      </c>
      <c r="N15" s="4">
        <f>COUNTIF(B15:M15,"Present")/COUNTIF(B15:M15,"&lt;&gt;No-Class")</f>
        <v>0.33333333333333331</v>
      </c>
      <c r="O15" s="4">
        <f>COUNTIF(B15:M15,"Present-Online")/COUNTIF(B15:M15,"&lt;&gt;No-Class")</f>
        <v>0.55555555555555558</v>
      </c>
      <c r="P15" s="4">
        <f>COUNTIF(B15:M15,"Absent")/COUNTIF(B15:M15,"&lt;&gt;No-Class")</f>
        <v>0.1111111111111111</v>
      </c>
      <c r="Q15" s="4">
        <f t="shared" si="0"/>
        <v>0.88888888888888884</v>
      </c>
      <c r="R15" s="4"/>
      <c r="S15" s="4">
        <f>COUNTIF(B15:M15,"Present")/NETWORKDAYS($B$1,$M$1)</f>
        <v>0.375</v>
      </c>
      <c r="T15" s="4">
        <f>COUNTIF(B15:M15,"Present-Online")/NETWORKDAYS($B$1,$M$1)</f>
        <v>0.625</v>
      </c>
      <c r="V15">
        <f>COUNTIF(B15:M15,"Present")</f>
        <v>3</v>
      </c>
      <c r="W15" s="4">
        <f t="shared" si="1"/>
        <v>0.33333333333333331</v>
      </c>
      <c r="X15" s="5">
        <f>COUNTIF(B15:M15,"Present-Online")</f>
        <v>5</v>
      </c>
      <c r="Y15" s="6">
        <f t="shared" si="2"/>
        <v>0.55555555555555558</v>
      </c>
      <c r="Z15">
        <f>COUNTIF(B15:M15,"Absent")</f>
        <v>1</v>
      </c>
      <c r="AA15" s="6">
        <f t="shared" si="3"/>
        <v>0.1111111111111111</v>
      </c>
      <c r="AB15" s="7">
        <f t="shared" si="4"/>
        <v>0.88888888888888884</v>
      </c>
    </row>
    <row r="16" spans="1:30" x14ac:dyDescent="0.35">
      <c r="A16" s="2" t="s">
        <v>26</v>
      </c>
      <c r="B16" s="2" t="s">
        <v>5</v>
      </c>
      <c r="C16" s="2" t="s">
        <v>5</v>
      </c>
      <c r="D16" s="2" t="s">
        <v>5</v>
      </c>
      <c r="E16" s="3" t="s">
        <v>5</v>
      </c>
      <c r="F16" s="2" t="s">
        <v>10</v>
      </c>
      <c r="G16" s="2" t="s">
        <v>5</v>
      </c>
      <c r="H16" s="2" t="s">
        <v>13</v>
      </c>
      <c r="I16" s="2" t="s">
        <v>4</v>
      </c>
      <c r="J16" s="2" t="s">
        <v>4</v>
      </c>
      <c r="K16" s="2" t="s">
        <v>10</v>
      </c>
      <c r="L16" s="2" t="s">
        <v>10</v>
      </c>
      <c r="M16" s="2" t="s">
        <v>4</v>
      </c>
      <c r="N16" s="4">
        <f>COUNTIF(B16:M16,"Present")/COUNTIF(B16:M16,"&lt;&gt;No-Class")</f>
        <v>0.33333333333333331</v>
      </c>
      <c r="O16" s="4">
        <f>COUNTIF(B16:M16,"Present-Online")/COUNTIF(B16:M16,"&lt;&gt;No-Class")</f>
        <v>0.55555555555555558</v>
      </c>
      <c r="P16" s="4">
        <f>COUNTIF(B16:M16,"Absent")/COUNTIF(B16:M16,"&lt;&gt;No-Class")</f>
        <v>0.1111111111111111</v>
      </c>
      <c r="Q16" s="4">
        <f t="shared" si="0"/>
        <v>0.88888888888888884</v>
      </c>
      <c r="R16" s="4"/>
      <c r="S16" s="4">
        <f>COUNTIF(B16:M16,"Present")/NETWORKDAYS($B$1,$M$1)</f>
        <v>0.375</v>
      </c>
      <c r="T16" s="4">
        <f>COUNTIF(B16:M16,"Present-Online")/NETWORKDAYS($B$1,$M$1)</f>
        <v>0.625</v>
      </c>
      <c r="V16">
        <f>COUNTIF(B16:M16,"Present")</f>
        <v>3</v>
      </c>
      <c r="W16" s="4">
        <f t="shared" si="1"/>
        <v>0.33333333333333331</v>
      </c>
      <c r="X16" s="5">
        <f>COUNTIF(B16:M16,"Present-Online")</f>
        <v>5</v>
      </c>
      <c r="Y16" s="6">
        <f t="shared" si="2"/>
        <v>0.55555555555555558</v>
      </c>
      <c r="Z16">
        <f>COUNTIF(B16:M16,"Absent")</f>
        <v>1</v>
      </c>
      <c r="AA16" s="6">
        <f t="shared" si="3"/>
        <v>0.1111111111111111</v>
      </c>
      <c r="AB16" s="7">
        <f t="shared" si="4"/>
        <v>0.88888888888888884</v>
      </c>
    </row>
    <row r="17" spans="1:28" x14ac:dyDescent="0.35">
      <c r="A17" s="2" t="s">
        <v>27</v>
      </c>
      <c r="B17" s="2" t="s">
        <v>4</v>
      </c>
      <c r="C17" s="2" t="s">
        <v>4</v>
      </c>
      <c r="D17" s="2" t="s">
        <v>4</v>
      </c>
      <c r="E17" s="3" t="s">
        <v>5</v>
      </c>
      <c r="F17" s="2" t="s">
        <v>10</v>
      </c>
      <c r="G17" s="2" t="s">
        <v>4</v>
      </c>
      <c r="H17" s="2" t="s">
        <v>5</v>
      </c>
      <c r="I17" s="2" t="s">
        <v>13</v>
      </c>
      <c r="J17" s="2" t="s">
        <v>13</v>
      </c>
      <c r="K17" s="2" t="s">
        <v>10</v>
      </c>
      <c r="L17" s="2" t="s">
        <v>10</v>
      </c>
      <c r="M17" s="2" t="s">
        <v>13</v>
      </c>
      <c r="N17" s="4">
        <f>COUNTIF(B17:M17,"Present")/COUNTIF(B17:M17,"&lt;&gt;No-Class")</f>
        <v>0.44444444444444442</v>
      </c>
      <c r="O17" s="4">
        <f>COUNTIF(B17:M17,"Present-Online")/COUNTIF(B17:M17,"&lt;&gt;No-Class")</f>
        <v>0.22222222222222221</v>
      </c>
      <c r="P17" s="4">
        <f>COUNTIF(B17:M17,"Absent")/COUNTIF(B17:M17,"&lt;&gt;No-Class")</f>
        <v>0.33333333333333331</v>
      </c>
      <c r="Q17" s="4">
        <f t="shared" si="0"/>
        <v>0.66666666666666663</v>
      </c>
      <c r="R17" s="4"/>
      <c r="S17" s="4">
        <f>COUNTIF(B17:M17,"Present")/NETWORKDAYS($B$1,$M$1)</f>
        <v>0.5</v>
      </c>
      <c r="T17" s="4">
        <f>COUNTIF(B17:M17,"Present-Online")/NETWORKDAYS($B$1,$M$1)</f>
        <v>0.25</v>
      </c>
      <c r="V17">
        <f>COUNTIF(B17:M17,"Present")</f>
        <v>4</v>
      </c>
      <c r="W17" s="4">
        <f t="shared" si="1"/>
        <v>0.44444444444444442</v>
      </c>
      <c r="X17" s="5">
        <f>COUNTIF(B17:M17,"Present-Online")</f>
        <v>2</v>
      </c>
      <c r="Y17" s="6">
        <f t="shared" si="2"/>
        <v>0.22222222222222221</v>
      </c>
      <c r="Z17">
        <f>COUNTIF(B17:M17,"Absent")</f>
        <v>3</v>
      </c>
      <c r="AA17" s="6">
        <f t="shared" si="3"/>
        <v>0.33333333333333331</v>
      </c>
      <c r="AB17" s="7">
        <f t="shared" si="4"/>
        <v>0.66666666666666663</v>
      </c>
    </row>
    <row r="18" spans="1:28" x14ac:dyDescent="0.35">
      <c r="A18" s="2" t="s">
        <v>28</v>
      </c>
      <c r="B18" s="2" t="s">
        <v>4</v>
      </c>
      <c r="C18" s="2" t="s">
        <v>4</v>
      </c>
      <c r="D18" s="2" t="s">
        <v>13</v>
      </c>
      <c r="E18" s="3" t="s">
        <v>5</v>
      </c>
      <c r="F18" s="2" t="s">
        <v>10</v>
      </c>
      <c r="G18" s="2" t="s">
        <v>5</v>
      </c>
      <c r="H18" s="2" t="s">
        <v>5</v>
      </c>
      <c r="I18" s="2" t="s">
        <v>11</v>
      </c>
      <c r="J18" s="2" t="s">
        <v>4</v>
      </c>
      <c r="K18" s="2" t="s">
        <v>10</v>
      </c>
      <c r="L18" s="2" t="s">
        <v>10</v>
      </c>
      <c r="M18" s="2" t="s">
        <v>4</v>
      </c>
      <c r="N18" s="4">
        <f>COUNTIF(B18:M18,"Present")/COUNTIF(B18:M18,"&lt;&gt;No-Class")</f>
        <v>0.44444444444444442</v>
      </c>
      <c r="O18" s="4">
        <f>COUNTIF(B18:M18,"Present-Online")/COUNTIF(B18:M18,"&lt;&gt;No-Class")</f>
        <v>0.44444444444444442</v>
      </c>
      <c r="P18" s="4">
        <f>COUNTIF(B18:M18,"Absent")/COUNTIF(B18:M18,"&lt;&gt;No-Class")</f>
        <v>0.1111111111111111</v>
      </c>
      <c r="Q18" s="4">
        <f t="shared" si="0"/>
        <v>0.88888888888888884</v>
      </c>
      <c r="R18" s="4"/>
      <c r="S18" s="4">
        <f>COUNTIF(B18:M18,"Present")/NETWORKDAYS($B$1,$M$1)</f>
        <v>0.5</v>
      </c>
      <c r="T18" s="4">
        <f>COUNTIF(B18:M18,"Present-Online")/NETWORKDAYS($B$1,$M$1)</f>
        <v>0.5</v>
      </c>
      <c r="V18">
        <f>COUNTIF(B18:M18,"Present")</f>
        <v>4</v>
      </c>
      <c r="W18" s="4">
        <f t="shared" si="1"/>
        <v>0.44444444444444442</v>
      </c>
      <c r="X18" s="5">
        <f>COUNTIF(B18:M18,"Present-Online")</f>
        <v>4</v>
      </c>
      <c r="Y18" s="6">
        <f t="shared" si="2"/>
        <v>0.44444444444444442</v>
      </c>
      <c r="Z18">
        <f>COUNTIF(B18:M18,"Absent")</f>
        <v>1</v>
      </c>
      <c r="AA18" s="6">
        <f t="shared" si="3"/>
        <v>0.1111111111111111</v>
      </c>
      <c r="AB18" s="7">
        <f t="shared" si="4"/>
        <v>0.88888888888888884</v>
      </c>
    </row>
    <row r="19" spans="1:28" x14ac:dyDescent="0.35">
      <c r="A19" s="2" t="s">
        <v>29</v>
      </c>
      <c r="B19" s="2" t="s">
        <v>4</v>
      </c>
      <c r="C19" s="2" t="s">
        <v>4</v>
      </c>
      <c r="D19" s="2" t="s">
        <v>4</v>
      </c>
      <c r="E19" s="3" t="s">
        <v>5</v>
      </c>
      <c r="F19" s="2" t="s">
        <v>10</v>
      </c>
      <c r="G19" s="2" t="s">
        <v>4</v>
      </c>
      <c r="H19" s="2" t="s">
        <v>5</v>
      </c>
      <c r="I19" s="2" t="s">
        <v>5</v>
      </c>
      <c r="J19" s="2" t="s">
        <v>4</v>
      </c>
      <c r="K19" s="2" t="s">
        <v>10</v>
      </c>
      <c r="L19" s="2" t="s">
        <v>10</v>
      </c>
      <c r="M19" s="2" t="s">
        <v>4</v>
      </c>
      <c r="N19" s="4">
        <f>COUNTIF(B19:M19,"Present")/COUNTIF(B19:M19,"&lt;&gt;No-Class")</f>
        <v>0.66666666666666663</v>
      </c>
      <c r="O19" s="4">
        <f>COUNTIF(B19:M19,"Present-Online")/COUNTIF(B19:M19,"&lt;&gt;No-Class")</f>
        <v>0.33333333333333331</v>
      </c>
      <c r="P19" s="4">
        <f>COUNTIF(B19:M19,"Absent")/COUNTIF(B19:M19,"&lt;&gt;No-Class")</f>
        <v>0</v>
      </c>
      <c r="Q19" s="4">
        <f t="shared" si="0"/>
        <v>1</v>
      </c>
      <c r="R19" s="4"/>
      <c r="S19" s="4">
        <f>COUNTIF(B19:M19,"Present")/NETWORKDAYS($B$1,$M$1)</f>
        <v>0.75</v>
      </c>
      <c r="T19" s="4">
        <f>COUNTIF(B19:M19,"Present-Online")/NETWORKDAYS($B$1,$M$1)</f>
        <v>0.375</v>
      </c>
      <c r="V19">
        <f>COUNTIF(B19:M19,"Present")</f>
        <v>6</v>
      </c>
      <c r="W19" s="4">
        <f t="shared" si="1"/>
        <v>0.66666666666666663</v>
      </c>
      <c r="X19" s="5">
        <f>COUNTIF(B19:M19,"Present-Online")</f>
        <v>3</v>
      </c>
      <c r="Y19" s="6">
        <f t="shared" si="2"/>
        <v>0.33333333333333331</v>
      </c>
      <c r="Z19">
        <f>COUNTIF(B19:M19,"Absent")</f>
        <v>0</v>
      </c>
      <c r="AA19" s="6">
        <f t="shared" si="3"/>
        <v>0</v>
      </c>
      <c r="AB19" s="7">
        <f t="shared" si="4"/>
        <v>1</v>
      </c>
    </row>
    <row r="20" spans="1:28" ht="29" x14ac:dyDescent="0.35">
      <c r="A20" s="8" t="s">
        <v>30</v>
      </c>
      <c r="B20" s="2" t="s">
        <v>4</v>
      </c>
      <c r="C20" s="2" t="s">
        <v>4</v>
      </c>
      <c r="D20" s="2" t="s">
        <v>5</v>
      </c>
      <c r="E20" s="3" t="s">
        <v>5</v>
      </c>
      <c r="F20" s="2" t="s">
        <v>10</v>
      </c>
      <c r="G20" s="2" t="s">
        <v>5</v>
      </c>
      <c r="H20" s="2" t="s">
        <v>4</v>
      </c>
      <c r="I20" s="2" t="s">
        <v>13</v>
      </c>
      <c r="J20" s="2" t="s">
        <v>4</v>
      </c>
      <c r="K20" s="2" t="s">
        <v>10</v>
      </c>
      <c r="L20" s="2" t="s">
        <v>10</v>
      </c>
      <c r="M20" s="2" t="s">
        <v>4</v>
      </c>
      <c r="N20" s="4">
        <f>COUNTIF(B20:M20,"Present")/COUNTIF(B20:M20,"&lt;&gt;No-Class")</f>
        <v>0.55555555555555558</v>
      </c>
      <c r="O20" s="4">
        <f>COUNTIF(B20:M20,"Present-Online")/COUNTIF(B20:M20,"&lt;&gt;No-Class")</f>
        <v>0.33333333333333331</v>
      </c>
      <c r="P20" s="4">
        <f>COUNTIF(B20:M20,"Absent")/COUNTIF(B20:M20,"&lt;&gt;No-Class")</f>
        <v>0.1111111111111111</v>
      </c>
      <c r="Q20" s="4">
        <f t="shared" si="0"/>
        <v>0.88888888888888884</v>
      </c>
      <c r="R20" s="4"/>
      <c r="S20" s="4">
        <f>COUNTIF(B20:M20,"Present")/NETWORKDAYS($B$1,$M$1)</f>
        <v>0.625</v>
      </c>
      <c r="T20" s="4">
        <f>COUNTIF(B20:M20,"Present-Online")/NETWORKDAYS($B$1,$M$1)</f>
        <v>0.375</v>
      </c>
      <c r="V20">
        <f>COUNTIF(B20:M20,"Present")</f>
        <v>5</v>
      </c>
      <c r="W20" s="4">
        <f t="shared" si="1"/>
        <v>0.55555555555555558</v>
      </c>
      <c r="X20" s="5">
        <f>COUNTIF(B20:M20,"Present-Online")</f>
        <v>3</v>
      </c>
      <c r="Y20" s="6">
        <f t="shared" si="2"/>
        <v>0.33333333333333331</v>
      </c>
      <c r="Z20">
        <f>COUNTIF(B20:M20,"Absent")</f>
        <v>1</v>
      </c>
      <c r="AA20" s="6">
        <f t="shared" si="3"/>
        <v>0.1111111111111111</v>
      </c>
      <c r="AB20" s="7">
        <f t="shared" si="4"/>
        <v>0.88888888888888884</v>
      </c>
    </row>
    <row r="21" spans="1:28" x14ac:dyDescent="0.35">
      <c r="A21" s="2" t="s">
        <v>31</v>
      </c>
      <c r="B21" s="2" t="s">
        <v>13</v>
      </c>
      <c r="C21" s="2" t="s">
        <v>4</v>
      </c>
      <c r="D21" s="2" t="s">
        <v>5</v>
      </c>
      <c r="E21" s="3" t="s">
        <v>5</v>
      </c>
      <c r="F21" s="2" t="s">
        <v>10</v>
      </c>
      <c r="G21" s="2" t="s">
        <v>5</v>
      </c>
      <c r="H21" s="2" t="s">
        <v>4</v>
      </c>
      <c r="I21" s="2" t="s">
        <v>5</v>
      </c>
      <c r="J21" s="2" t="s">
        <v>11</v>
      </c>
      <c r="K21" s="2" t="s">
        <v>10</v>
      </c>
      <c r="L21" s="2" t="s">
        <v>10</v>
      </c>
      <c r="M21" s="2" t="s">
        <v>4</v>
      </c>
      <c r="N21" s="4">
        <f>COUNTIF(B21:M21,"Present")/COUNTIF(B21:M21,"&lt;&gt;No-Class")</f>
        <v>0.33333333333333331</v>
      </c>
      <c r="O21" s="4">
        <f>COUNTIF(B21:M21,"Present-Online")/COUNTIF(B21:M21,"&lt;&gt;No-Class")</f>
        <v>0.55555555555555558</v>
      </c>
      <c r="P21" s="4">
        <f>COUNTIF(B21:M21,"Absent")/COUNTIF(B21:M21,"&lt;&gt;No-Class")</f>
        <v>0.1111111111111111</v>
      </c>
      <c r="Q21" s="4">
        <f t="shared" si="0"/>
        <v>0.88888888888888884</v>
      </c>
      <c r="R21" s="4"/>
      <c r="S21" s="4">
        <f>COUNTIF(B21:M21,"Present")/NETWORKDAYS($B$1,$M$1)</f>
        <v>0.375</v>
      </c>
      <c r="T21" s="4">
        <f>COUNTIF(B21:M21,"Present-Online")/NETWORKDAYS($B$1,$M$1)</f>
        <v>0.625</v>
      </c>
      <c r="V21">
        <f>COUNTIF(B21:M21,"Present")</f>
        <v>3</v>
      </c>
      <c r="W21" s="4">
        <f t="shared" si="1"/>
        <v>0.33333333333333331</v>
      </c>
      <c r="X21" s="5">
        <f>COUNTIF(B21:M21,"Present-Online")</f>
        <v>5</v>
      </c>
      <c r="Y21" s="6">
        <f t="shared" si="2"/>
        <v>0.55555555555555558</v>
      </c>
      <c r="Z21">
        <f>COUNTIF(B21:M21,"Absent")</f>
        <v>1</v>
      </c>
      <c r="AA21" s="6">
        <f t="shared" si="3"/>
        <v>0.1111111111111111</v>
      </c>
      <c r="AB21" s="7">
        <f t="shared" si="4"/>
        <v>0.88888888888888884</v>
      </c>
    </row>
    <row r="22" spans="1:28" ht="43.5" x14ac:dyDescent="0.35">
      <c r="A22" s="8" t="s">
        <v>32</v>
      </c>
      <c r="B22" s="2" t="s">
        <v>4</v>
      </c>
      <c r="C22" s="2" t="s">
        <v>4</v>
      </c>
      <c r="D22" s="2" t="s">
        <v>5</v>
      </c>
      <c r="E22" s="3" t="s">
        <v>5</v>
      </c>
      <c r="F22" s="9" t="s">
        <v>10</v>
      </c>
      <c r="G22" s="2" t="s">
        <v>5</v>
      </c>
      <c r="H22" s="2" t="s">
        <v>4</v>
      </c>
      <c r="I22" s="2" t="s">
        <v>5</v>
      </c>
      <c r="J22" s="2" t="s">
        <v>11</v>
      </c>
      <c r="K22" s="9" t="s">
        <v>10</v>
      </c>
      <c r="L22" s="9" t="s">
        <v>10</v>
      </c>
      <c r="M22" s="9" t="s">
        <v>4</v>
      </c>
      <c r="N22" s="4">
        <f>COUNTIF(B22:M22,"Present")/COUNTIF(B22:M22,"&lt;&gt;No-Class")</f>
        <v>0.44444444444444442</v>
      </c>
      <c r="O22" s="4">
        <f>COUNTIF(B22:M22,"Present-Online")/COUNTIF(B22:M22,"&lt;&gt;No-Class")</f>
        <v>0.55555555555555558</v>
      </c>
      <c r="P22" s="4">
        <f>COUNTIF(B22:M22,"Absent")/COUNTIF(B22:M22,"&lt;&gt;No-Class")</f>
        <v>0</v>
      </c>
      <c r="Q22" s="4">
        <f t="shared" si="0"/>
        <v>1</v>
      </c>
      <c r="R22" s="4"/>
      <c r="S22" s="4">
        <f>COUNTIF(B22:M22,"Present")/NETWORKDAYS($B$1,$M$1)</f>
        <v>0.5</v>
      </c>
      <c r="T22" s="4">
        <f>COUNTIF(B22:M22,"Present-Online")/NETWORKDAYS($B$1,$M$1)</f>
        <v>0.625</v>
      </c>
      <c r="V22">
        <f>COUNTIF(B22:M22,"Present")</f>
        <v>4</v>
      </c>
      <c r="W22" s="4">
        <f t="shared" si="1"/>
        <v>0.44444444444444442</v>
      </c>
      <c r="X22" s="5">
        <f>COUNTIF(B22:M22,"Present-Online")</f>
        <v>5</v>
      </c>
      <c r="Y22" s="6">
        <f t="shared" si="2"/>
        <v>0.55555555555555558</v>
      </c>
      <c r="Z22">
        <f>COUNTIF(B22:M22,"Absent")</f>
        <v>0</v>
      </c>
      <c r="AA22" s="6">
        <f t="shared" si="3"/>
        <v>0</v>
      </c>
      <c r="AB22" s="7">
        <f t="shared" si="4"/>
        <v>1</v>
      </c>
    </row>
    <row r="23" spans="1:28" x14ac:dyDescent="0.35">
      <c r="A23" s="10" t="s">
        <v>33</v>
      </c>
      <c r="B23" s="2" t="s">
        <v>4</v>
      </c>
      <c r="C23" s="2" t="s">
        <v>5</v>
      </c>
      <c r="D23" s="2" t="s">
        <v>13</v>
      </c>
      <c r="E23" s="3" t="s">
        <v>5</v>
      </c>
      <c r="F23" s="2" t="s">
        <v>10</v>
      </c>
      <c r="G23" s="2" t="s">
        <v>5</v>
      </c>
      <c r="H23" s="2" t="s">
        <v>4</v>
      </c>
      <c r="I23" s="2" t="s">
        <v>4</v>
      </c>
      <c r="J23" s="2" t="s">
        <v>11</v>
      </c>
      <c r="K23" s="2" t="s">
        <v>10</v>
      </c>
      <c r="L23" s="2" t="s">
        <v>10</v>
      </c>
      <c r="M23" s="2" t="s">
        <v>4</v>
      </c>
      <c r="N23" s="4">
        <f>COUNTIF(B23:M23,"Present")/COUNTIF(B23:M23,"&lt;&gt;No-Class")</f>
        <v>0.44444444444444442</v>
      </c>
      <c r="O23" s="4">
        <f>COUNTIF(B23:M23,"Present-Online")/COUNTIF(B23:M23,"&lt;&gt;No-Class")</f>
        <v>0.44444444444444442</v>
      </c>
      <c r="P23" s="4">
        <f>COUNTIF(B23:M23,"Absent")/COUNTIF(B23:M23,"&lt;&gt;No-Class")</f>
        <v>0.1111111111111111</v>
      </c>
      <c r="Q23" s="4">
        <f t="shared" si="0"/>
        <v>0.88888888888888884</v>
      </c>
      <c r="R23" s="4"/>
      <c r="S23" s="4">
        <f>COUNTIF(B23:M23,"Present")/NETWORKDAYS($B$1,$M$1)</f>
        <v>0.5</v>
      </c>
      <c r="T23" s="4">
        <f>COUNTIF(B23:M23,"Present-Online")/NETWORKDAYS($B$1,$M$1)</f>
        <v>0.5</v>
      </c>
      <c r="V23">
        <f>COUNTIF(B23:M23,"Present")</f>
        <v>4</v>
      </c>
      <c r="W23" s="4">
        <f t="shared" si="1"/>
        <v>0.44444444444444442</v>
      </c>
      <c r="X23" s="5">
        <f>COUNTIF(B23:M23,"Present-Online")</f>
        <v>4</v>
      </c>
      <c r="Y23" s="6">
        <f t="shared" si="2"/>
        <v>0.44444444444444442</v>
      </c>
      <c r="Z23">
        <f>COUNTIF(B23:M23,"Absent")</f>
        <v>1</v>
      </c>
      <c r="AA23" s="6">
        <f t="shared" si="3"/>
        <v>0.1111111111111111</v>
      </c>
      <c r="AB23" s="7">
        <f t="shared" si="4"/>
        <v>0.88888888888888884</v>
      </c>
    </row>
    <row r="24" spans="1:28" x14ac:dyDescent="0.35">
      <c r="A24" s="10" t="s">
        <v>34</v>
      </c>
      <c r="B24" s="2" t="s">
        <v>4</v>
      </c>
      <c r="C24" s="2" t="s">
        <v>13</v>
      </c>
      <c r="D24" s="2" t="s">
        <v>13</v>
      </c>
      <c r="E24" s="3" t="s">
        <v>5</v>
      </c>
      <c r="F24" s="2" t="s">
        <v>10</v>
      </c>
      <c r="G24" s="2" t="s">
        <v>5</v>
      </c>
      <c r="H24" s="2" t="s">
        <v>4</v>
      </c>
      <c r="I24" s="2" t="s">
        <v>4</v>
      </c>
      <c r="J24" s="2" t="s">
        <v>11</v>
      </c>
      <c r="K24" s="2" t="s">
        <v>10</v>
      </c>
      <c r="L24" s="2" t="s">
        <v>10</v>
      </c>
      <c r="M24" s="2" t="s">
        <v>13</v>
      </c>
      <c r="N24" s="4">
        <f>COUNTIF(B24:M24,"Present")/COUNTIF(B24:M24,"&lt;&gt;No-Class")</f>
        <v>0.33333333333333331</v>
      </c>
      <c r="O24" s="4">
        <f>COUNTIF(B24:M24,"Present-Online")/COUNTIF(B24:M24,"&lt;&gt;No-Class")</f>
        <v>0.33333333333333331</v>
      </c>
      <c r="P24" s="4">
        <f>COUNTIF(B24:M24,"Absent")/COUNTIF(B24:M24,"&lt;&gt;No-Class")</f>
        <v>0.33333333333333331</v>
      </c>
      <c r="Q24" s="4">
        <f t="shared" si="0"/>
        <v>0.66666666666666663</v>
      </c>
      <c r="R24" s="4"/>
      <c r="S24" s="4">
        <f>COUNTIF(B24:M24,"Present")/NETWORKDAYS($B$1,$M$1)</f>
        <v>0.375</v>
      </c>
      <c r="T24" s="4">
        <f>COUNTIF(B24:M24,"Present-Online")/NETWORKDAYS($B$1,$M$1)</f>
        <v>0.375</v>
      </c>
      <c r="V24">
        <f>COUNTIF(B24:M24,"Present")</f>
        <v>3</v>
      </c>
      <c r="W24" s="4">
        <f t="shared" si="1"/>
        <v>0.33333333333333331</v>
      </c>
      <c r="X24" s="5">
        <f>COUNTIF(B24:M24,"Present-Online")</f>
        <v>3</v>
      </c>
      <c r="Y24" s="6">
        <f t="shared" si="2"/>
        <v>0.33333333333333331</v>
      </c>
      <c r="Z24">
        <f>COUNTIF(B24:M24,"Absent")</f>
        <v>3</v>
      </c>
      <c r="AA24" s="6">
        <f t="shared" si="3"/>
        <v>0.33333333333333331</v>
      </c>
      <c r="AB24" s="7">
        <f t="shared" si="4"/>
        <v>0.66666666666666663</v>
      </c>
    </row>
    <row r="25" spans="1:28" x14ac:dyDescent="0.35">
      <c r="A25" s="10" t="s">
        <v>35</v>
      </c>
      <c r="B25" s="2" t="s">
        <v>5</v>
      </c>
      <c r="C25" s="2" t="s">
        <v>5</v>
      </c>
      <c r="D25" s="2" t="s">
        <v>5</v>
      </c>
      <c r="E25" s="3" t="s">
        <v>5</v>
      </c>
      <c r="F25" s="2" t="s">
        <v>10</v>
      </c>
      <c r="G25" s="2" t="s">
        <v>5</v>
      </c>
      <c r="H25" s="2" t="s">
        <v>13</v>
      </c>
      <c r="I25" s="2" t="s">
        <v>4</v>
      </c>
      <c r="J25" s="2" t="s">
        <v>4</v>
      </c>
      <c r="K25" s="2" t="s">
        <v>10</v>
      </c>
      <c r="L25" s="2" t="s">
        <v>10</v>
      </c>
      <c r="M25" s="2" t="s">
        <v>13</v>
      </c>
      <c r="N25" s="4">
        <f>COUNTIF(B25:M25,"Present")/COUNTIF(B25:M25,"&lt;&gt;No-Class")</f>
        <v>0.22222222222222221</v>
      </c>
      <c r="O25" s="4">
        <f>COUNTIF(B25:M25,"Present-Online")/COUNTIF(B25:M25,"&lt;&gt;No-Class")</f>
        <v>0.55555555555555558</v>
      </c>
      <c r="P25" s="4">
        <f>COUNTIF(B25:M25,"Absent")/COUNTIF(B25:M25,"&lt;&gt;No-Class")</f>
        <v>0.22222222222222221</v>
      </c>
      <c r="Q25" s="4">
        <f t="shared" si="0"/>
        <v>0.77777777777777779</v>
      </c>
      <c r="R25" s="4"/>
      <c r="S25" s="4">
        <f>COUNTIF(B25:M25,"Present")/NETWORKDAYS($B$1,$M$1)</f>
        <v>0.25</v>
      </c>
      <c r="T25" s="4">
        <f>COUNTIF(B25:M25,"Present-Online")/NETWORKDAYS($B$1,$M$1)</f>
        <v>0.625</v>
      </c>
      <c r="V25">
        <f>COUNTIF(B25:M25,"Present")</f>
        <v>2</v>
      </c>
      <c r="W25" s="4">
        <f t="shared" si="1"/>
        <v>0.22222222222222221</v>
      </c>
      <c r="X25" s="5">
        <f>COUNTIF(B25:M25,"Present-Online")</f>
        <v>5</v>
      </c>
      <c r="Y25" s="6">
        <f t="shared" si="2"/>
        <v>0.55555555555555558</v>
      </c>
      <c r="Z25">
        <f>COUNTIF(B25:M25,"Absent")</f>
        <v>2</v>
      </c>
      <c r="AA25" s="6">
        <f t="shared" si="3"/>
        <v>0.22222222222222221</v>
      </c>
      <c r="AB25" s="7">
        <f t="shared" si="4"/>
        <v>0.77777777777777779</v>
      </c>
    </row>
    <row r="26" spans="1:28" x14ac:dyDescent="0.35">
      <c r="A26" s="11" t="s">
        <v>36</v>
      </c>
      <c r="B26" s="2" t="s">
        <v>5</v>
      </c>
      <c r="C26" s="2" t="s">
        <v>5</v>
      </c>
      <c r="D26" s="2" t="s">
        <v>5</v>
      </c>
      <c r="E26" s="3" t="s">
        <v>5</v>
      </c>
      <c r="F26" s="2" t="s">
        <v>10</v>
      </c>
      <c r="G26" s="2" t="s">
        <v>5</v>
      </c>
      <c r="H26" s="2" t="s">
        <v>4</v>
      </c>
      <c r="I26" s="2" t="s">
        <v>5</v>
      </c>
      <c r="J26" s="2" t="s">
        <v>4</v>
      </c>
      <c r="K26" s="2" t="s">
        <v>10</v>
      </c>
      <c r="L26" s="2" t="s">
        <v>10</v>
      </c>
      <c r="M26" s="2" t="s">
        <v>5</v>
      </c>
      <c r="N26" s="4">
        <f>COUNTIF(B26:M26,"Present")/COUNTIF(B26:M26,"&lt;&gt;No-Class")</f>
        <v>0.22222222222222221</v>
      </c>
      <c r="O26" s="4">
        <f>COUNTIF(B26:M26,"Present-Online")/COUNTIF(B26:M26,"&lt;&gt;No-Class")</f>
        <v>0.77777777777777779</v>
      </c>
      <c r="P26" s="4">
        <f>COUNTIF(B26:M26,"Absent")/COUNTIF(B26:M26,"&lt;&gt;No-Class")</f>
        <v>0</v>
      </c>
      <c r="Q26" s="4">
        <f t="shared" si="0"/>
        <v>1</v>
      </c>
      <c r="R26" s="4"/>
      <c r="S26" s="4">
        <f>COUNTIF(B26:M26,"Present")/NETWORKDAYS($B$1,$M$1)</f>
        <v>0.25</v>
      </c>
      <c r="T26" s="4">
        <f>COUNTIF(B26:M26,"Present-Online")/NETWORKDAYS($B$1,$M$1)</f>
        <v>0.875</v>
      </c>
      <c r="V26">
        <f>COUNTIF(B26:M26,"Present")</f>
        <v>2</v>
      </c>
      <c r="W26" s="4">
        <f t="shared" si="1"/>
        <v>0.22222222222222221</v>
      </c>
      <c r="X26" s="5">
        <f>COUNTIF(B26:M26,"Present-Online")</f>
        <v>7</v>
      </c>
      <c r="Y26" s="6">
        <f t="shared" si="2"/>
        <v>0.77777777777777779</v>
      </c>
      <c r="Z26">
        <f>COUNTIF(B26:M26,"Absent")</f>
        <v>0</v>
      </c>
      <c r="AA26" s="6">
        <f t="shared" si="3"/>
        <v>0</v>
      </c>
      <c r="AB26" s="7">
        <f t="shared" si="4"/>
        <v>1</v>
      </c>
    </row>
    <row r="27" spans="1:28" x14ac:dyDescent="0.35">
      <c r="A27" s="10" t="s">
        <v>37</v>
      </c>
      <c r="B27" s="2" t="s">
        <v>4</v>
      </c>
      <c r="C27" s="2" t="s">
        <v>4</v>
      </c>
      <c r="D27" s="2" t="s">
        <v>4</v>
      </c>
      <c r="E27" s="3" t="s">
        <v>5</v>
      </c>
      <c r="F27" s="2" t="s">
        <v>10</v>
      </c>
      <c r="G27" s="2" t="s">
        <v>4</v>
      </c>
      <c r="H27" s="2" t="s">
        <v>13</v>
      </c>
      <c r="I27" s="2" t="s">
        <v>5</v>
      </c>
      <c r="J27" s="2" t="s">
        <v>4</v>
      </c>
      <c r="K27" s="2" t="s">
        <v>10</v>
      </c>
      <c r="L27" s="2" t="s">
        <v>10</v>
      </c>
      <c r="M27" s="2" t="s">
        <v>5</v>
      </c>
      <c r="N27" s="4">
        <f>COUNTIF(B27:M27,"Present")/COUNTIF(B27:M27,"&lt;&gt;No-Class")</f>
        <v>0.55555555555555558</v>
      </c>
      <c r="O27" s="4">
        <f>COUNTIF(B27:M27,"Present-Online")/COUNTIF(B27:M27,"&lt;&gt;No-Class")</f>
        <v>0.33333333333333331</v>
      </c>
      <c r="P27" s="4">
        <f>COUNTIF(B27:M27,"Absent")/COUNTIF(B27:M27,"&lt;&gt;No-Class")</f>
        <v>0.1111111111111111</v>
      </c>
      <c r="Q27" s="4">
        <f t="shared" si="0"/>
        <v>0.88888888888888884</v>
      </c>
      <c r="R27" s="4"/>
      <c r="S27" s="4">
        <f>COUNTIF(B27:M27,"Present")/NETWORKDAYS($B$1,$M$1)</f>
        <v>0.625</v>
      </c>
      <c r="T27" s="4">
        <f>COUNTIF(B27:M27,"Present-Online")/NETWORKDAYS($B$1,$M$1)</f>
        <v>0.375</v>
      </c>
      <c r="V27">
        <f>COUNTIF(B27:M27,"Present")</f>
        <v>5</v>
      </c>
      <c r="W27" s="4">
        <f t="shared" si="1"/>
        <v>0.55555555555555558</v>
      </c>
      <c r="X27" s="5">
        <f>COUNTIF(B27:M27,"Present-Online")</f>
        <v>3</v>
      </c>
      <c r="Y27" s="6">
        <f t="shared" si="2"/>
        <v>0.33333333333333331</v>
      </c>
      <c r="Z27">
        <f>COUNTIF(B27:M27,"Absent")</f>
        <v>1</v>
      </c>
      <c r="AA27" s="6">
        <f t="shared" si="3"/>
        <v>0.1111111111111111</v>
      </c>
      <c r="AB27" s="7">
        <f t="shared" si="4"/>
        <v>0.88888888888888884</v>
      </c>
    </row>
    <row r="28" spans="1:28" x14ac:dyDescent="0.35">
      <c r="A28" s="10" t="s">
        <v>34</v>
      </c>
      <c r="B28" s="2" t="s">
        <v>4</v>
      </c>
      <c r="C28" s="2" t="s">
        <v>4</v>
      </c>
      <c r="D28" s="2" t="s">
        <v>13</v>
      </c>
      <c r="E28" s="3" t="s">
        <v>5</v>
      </c>
      <c r="F28" s="2" t="s">
        <v>10</v>
      </c>
      <c r="G28" s="2" t="s">
        <v>5</v>
      </c>
      <c r="H28" s="2" t="s">
        <v>4</v>
      </c>
      <c r="I28" s="2" t="s">
        <v>13</v>
      </c>
      <c r="J28" s="2" t="s">
        <v>4</v>
      </c>
      <c r="K28" s="2" t="s">
        <v>10</v>
      </c>
      <c r="L28" s="2" t="s">
        <v>10</v>
      </c>
      <c r="M28" s="2" t="s">
        <v>4</v>
      </c>
      <c r="N28" s="4">
        <f>COUNTIF(B28:M28,"Present")/COUNTIF(B28:M28,"&lt;&gt;No-Class")</f>
        <v>0.55555555555555558</v>
      </c>
      <c r="O28" s="4">
        <f>COUNTIF(B28:M28,"Present-Online")/COUNTIF(B28:M28,"&lt;&gt;No-Class")</f>
        <v>0.22222222222222221</v>
      </c>
      <c r="P28" s="4">
        <f>COUNTIF(B28:M28,"Absent")/COUNTIF(B28:M28,"&lt;&gt;No-Class")</f>
        <v>0.22222222222222221</v>
      </c>
      <c r="Q28" s="4">
        <f t="shared" si="0"/>
        <v>0.77777777777777779</v>
      </c>
      <c r="R28" s="4"/>
      <c r="S28" s="4">
        <f>COUNTIF(B28:M28,"Present")/NETWORKDAYS($B$1,$M$1)</f>
        <v>0.625</v>
      </c>
      <c r="T28" s="4">
        <f>COUNTIF(B28:M28,"Present-Online")/NETWORKDAYS($B$1,$M$1)</f>
        <v>0.25</v>
      </c>
      <c r="V28">
        <f>COUNTIF(B28:M28,"Present")</f>
        <v>5</v>
      </c>
      <c r="W28" s="4">
        <f t="shared" si="1"/>
        <v>0.55555555555555558</v>
      </c>
      <c r="X28" s="5">
        <f>COUNTIF(B28:M28,"Present-Online")</f>
        <v>2</v>
      </c>
      <c r="Y28" s="6">
        <f t="shared" si="2"/>
        <v>0.22222222222222221</v>
      </c>
      <c r="Z28">
        <f>COUNTIF(B28:M28,"Absent")</f>
        <v>2</v>
      </c>
      <c r="AA28" s="6">
        <f t="shared" si="3"/>
        <v>0.22222222222222221</v>
      </c>
      <c r="AB28" s="7">
        <f t="shared" si="4"/>
        <v>0.77777777777777779</v>
      </c>
    </row>
    <row r="29" spans="1:28" x14ac:dyDescent="0.35">
      <c r="A29" s="12" t="s">
        <v>38</v>
      </c>
      <c r="B29" s="2" t="s">
        <v>4</v>
      </c>
      <c r="C29" s="2" t="s">
        <v>4</v>
      </c>
      <c r="D29" s="2" t="s">
        <v>4</v>
      </c>
      <c r="E29" s="3" t="s">
        <v>5</v>
      </c>
      <c r="F29" s="2" t="s">
        <v>10</v>
      </c>
      <c r="G29" s="2" t="s">
        <v>4</v>
      </c>
      <c r="H29" s="2" t="s">
        <v>13</v>
      </c>
      <c r="I29" s="2" t="s">
        <v>4</v>
      </c>
      <c r="J29" s="2" t="s">
        <v>4</v>
      </c>
      <c r="K29" s="2" t="s">
        <v>10</v>
      </c>
      <c r="L29" s="2" t="s">
        <v>10</v>
      </c>
      <c r="M29" s="2" t="s">
        <v>4</v>
      </c>
      <c r="N29" s="4">
        <f>COUNTIF(B29:M29,"Present")/COUNTIF(B29:M29,"&lt;&gt;No-Class")</f>
        <v>0.77777777777777779</v>
      </c>
      <c r="O29" s="4">
        <f>COUNTIF(B29:M29,"Present-Online")/COUNTIF(B29:M29,"&lt;&gt;No-Class")</f>
        <v>0.1111111111111111</v>
      </c>
      <c r="P29" s="4">
        <f>COUNTIF(B29:M29,"Absent")/COUNTIF(B29:M29,"&lt;&gt;No-Class")</f>
        <v>0.1111111111111111</v>
      </c>
      <c r="Q29" s="4">
        <f t="shared" si="0"/>
        <v>0.88888888888888884</v>
      </c>
      <c r="R29" s="4"/>
      <c r="S29" s="4">
        <f>COUNTIF(B29:M29,"Present")/NETWORKDAYS($B$1,$M$1)</f>
        <v>0.875</v>
      </c>
      <c r="T29" s="4">
        <f>COUNTIF(B29:M29,"Present-Online")/NETWORKDAYS($B$1,$M$1)</f>
        <v>0.125</v>
      </c>
      <c r="V29">
        <f>COUNTIF(B29:M29,"Present")</f>
        <v>7</v>
      </c>
      <c r="W29" s="4">
        <f t="shared" si="1"/>
        <v>0.77777777777777779</v>
      </c>
      <c r="X29" s="5">
        <f>COUNTIF(B29:M29,"Present-Online")</f>
        <v>1</v>
      </c>
      <c r="Y29" s="6">
        <f t="shared" si="2"/>
        <v>0.1111111111111111</v>
      </c>
      <c r="Z29">
        <f>COUNTIF(B29:M29,"Absent")</f>
        <v>1</v>
      </c>
      <c r="AA29" s="6">
        <f t="shared" si="3"/>
        <v>0.1111111111111111</v>
      </c>
      <c r="AB29" s="7">
        <f t="shared" si="4"/>
        <v>0.88888888888888884</v>
      </c>
    </row>
    <row r="30" spans="1:28" x14ac:dyDescent="0.35">
      <c r="A30" s="12" t="s">
        <v>39</v>
      </c>
      <c r="B30" s="2" t="s">
        <v>4</v>
      </c>
      <c r="C30" s="2" t="s">
        <v>4</v>
      </c>
      <c r="D30" s="2" t="s">
        <v>5</v>
      </c>
      <c r="E30" s="3" t="s">
        <v>5</v>
      </c>
      <c r="F30" s="2" t="s">
        <v>10</v>
      </c>
      <c r="G30" s="2" t="s">
        <v>5</v>
      </c>
      <c r="H30" s="2" t="s">
        <v>5</v>
      </c>
      <c r="I30" s="2" t="s">
        <v>5</v>
      </c>
      <c r="J30" s="2" t="s">
        <v>13</v>
      </c>
      <c r="K30" s="2" t="s">
        <v>10</v>
      </c>
      <c r="L30" s="2" t="s">
        <v>10</v>
      </c>
      <c r="M30" s="2" t="s">
        <v>4</v>
      </c>
      <c r="N30" s="4">
        <f>COUNTIF(B30:M30,"Present")/COUNTIF(B30:M30,"&lt;&gt;No-Class")</f>
        <v>0.33333333333333331</v>
      </c>
      <c r="O30" s="4">
        <f>COUNTIF(B30:M30,"Present-Online")/COUNTIF(B30:M30,"&lt;&gt;No-Class")</f>
        <v>0.55555555555555558</v>
      </c>
      <c r="P30" s="4">
        <f>COUNTIF(B30:M30,"Absent")/COUNTIF(B30:M30,"&lt;&gt;No-Class")</f>
        <v>0.1111111111111111</v>
      </c>
      <c r="Q30" s="4">
        <f t="shared" si="0"/>
        <v>0.88888888888888884</v>
      </c>
      <c r="R30" s="4"/>
      <c r="S30" s="4">
        <f>COUNTIF(B30:M30,"Present")/NETWORKDAYS($B$1,$M$1)</f>
        <v>0.375</v>
      </c>
      <c r="T30" s="4">
        <f>COUNTIF(B30:M30,"Present-Online")/NETWORKDAYS($B$1,$M$1)</f>
        <v>0.625</v>
      </c>
      <c r="V30">
        <f>COUNTIF(B30:M30,"Present")</f>
        <v>3</v>
      </c>
      <c r="W30" s="4">
        <f t="shared" si="1"/>
        <v>0.33333333333333331</v>
      </c>
      <c r="X30" s="5">
        <f>COUNTIF(B30:M30,"Present-Online")</f>
        <v>5</v>
      </c>
      <c r="Y30" s="6">
        <f t="shared" si="2"/>
        <v>0.55555555555555558</v>
      </c>
      <c r="Z30">
        <f>COUNTIF(B30:M30,"Absent")</f>
        <v>1</v>
      </c>
      <c r="AA30" s="6">
        <f t="shared" si="3"/>
        <v>0.1111111111111111</v>
      </c>
      <c r="AB30" s="7">
        <f t="shared" si="4"/>
        <v>0.88888888888888884</v>
      </c>
    </row>
    <row r="31" spans="1:28" x14ac:dyDescent="0.35">
      <c r="A31" s="12" t="s">
        <v>40</v>
      </c>
      <c r="B31" s="2" t="s">
        <v>13</v>
      </c>
      <c r="C31" s="2" t="s">
        <v>4</v>
      </c>
      <c r="D31" s="2" t="s">
        <v>5</v>
      </c>
      <c r="E31" s="3" t="s">
        <v>5</v>
      </c>
      <c r="F31" s="2" t="s">
        <v>10</v>
      </c>
      <c r="G31" s="2" t="s">
        <v>5</v>
      </c>
      <c r="H31" s="2" t="s">
        <v>5</v>
      </c>
      <c r="I31" s="2" t="s">
        <v>4</v>
      </c>
      <c r="J31" s="2" t="s">
        <v>4</v>
      </c>
      <c r="K31" s="2" t="s">
        <v>10</v>
      </c>
      <c r="L31" s="2" t="s">
        <v>10</v>
      </c>
      <c r="M31" s="2" t="s">
        <v>4</v>
      </c>
      <c r="N31" s="4">
        <f>COUNTIF(B31:M31,"Present")/COUNTIF(B31:M31,"&lt;&gt;No-Class")</f>
        <v>0.44444444444444442</v>
      </c>
      <c r="O31" s="4">
        <f>COUNTIF(B31:M31,"Present-Online")/COUNTIF(B31:M31,"&lt;&gt;No-Class")</f>
        <v>0.44444444444444442</v>
      </c>
      <c r="P31" s="4">
        <f>COUNTIF(B31:M31,"Absent")/COUNTIF(B31:M31,"&lt;&gt;No-Class")</f>
        <v>0.1111111111111111</v>
      </c>
      <c r="Q31" s="4">
        <f t="shared" si="0"/>
        <v>0.88888888888888884</v>
      </c>
      <c r="R31" s="4"/>
      <c r="S31" s="4">
        <f>COUNTIF(B31:M31,"Present")/NETWORKDAYS($B$1,$M$1)</f>
        <v>0.5</v>
      </c>
      <c r="T31" s="4">
        <f>COUNTIF(B31:M31,"Present-Online")/NETWORKDAYS($B$1,$M$1)</f>
        <v>0.5</v>
      </c>
      <c r="V31">
        <f>COUNTIF(B31:M31,"Present")</f>
        <v>4</v>
      </c>
      <c r="W31" s="4">
        <f t="shared" si="1"/>
        <v>0.44444444444444442</v>
      </c>
      <c r="X31" s="5">
        <f>COUNTIF(B31:M31,"Present-Online")</f>
        <v>4</v>
      </c>
      <c r="Y31" s="6">
        <f t="shared" si="2"/>
        <v>0.44444444444444442</v>
      </c>
      <c r="Z31">
        <f>COUNTIF(B31:M31,"Absent")</f>
        <v>1</v>
      </c>
      <c r="AA31" s="6">
        <f t="shared" si="3"/>
        <v>0.1111111111111111</v>
      </c>
      <c r="AB31" s="7">
        <f t="shared" si="4"/>
        <v>0.88888888888888884</v>
      </c>
    </row>
    <row r="32" spans="1:28" x14ac:dyDescent="0.35">
      <c r="A32" s="12" t="s">
        <v>41</v>
      </c>
      <c r="B32" s="2" t="s">
        <v>4</v>
      </c>
      <c r="C32" s="2" t="s">
        <v>4</v>
      </c>
      <c r="D32" s="2" t="s">
        <v>5</v>
      </c>
      <c r="E32" s="3" t="s">
        <v>5</v>
      </c>
      <c r="F32" s="2" t="s">
        <v>10</v>
      </c>
      <c r="G32" s="2" t="s">
        <v>5</v>
      </c>
      <c r="H32" s="2" t="s">
        <v>5</v>
      </c>
      <c r="I32" s="2" t="s">
        <v>4</v>
      </c>
      <c r="J32" s="2" t="s">
        <v>11</v>
      </c>
      <c r="K32" s="2" t="s">
        <v>10</v>
      </c>
      <c r="L32" s="2" t="s">
        <v>10</v>
      </c>
      <c r="M32" s="2" t="s">
        <v>4</v>
      </c>
      <c r="N32" s="4">
        <f>COUNTIF(B32:M32,"Present")/COUNTIF(B32:M32,"&lt;&gt;No-Class")</f>
        <v>0.44444444444444442</v>
      </c>
      <c r="O32" s="4">
        <f>COUNTIF(B32:M32,"Present-Online")/COUNTIF(B32:M32,"&lt;&gt;No-Class")</f>
        <v>0.55555555555555558</v>
      </c>
      <c r="P32" s="4">
        <f>COUNTIF(B32:M32,"Absent")/COUNTIF(B32:M32,"&lt;&gt;No-Class")</f>
        <v>0</v>
      </c>
      <c r="Q32" s="4">
        <f t="shared" si="0"/>
        <v>1</v>
      </c>
      <c r="R32" s="4"/>
      <c r="S32" s="4">
        <f>COUNTIF(B32:M32,"Present")/NETWORKDAYS($B$1,$M$1)</f>
        <v>0.5</v>
      </c>
      <c r="T32" s="4">
        <f>COUNTIF(B32:M32,"Present-Online")/NETWORKDAYS($B$1,$M$1)</f>
        <v>0.625</v>
      </c>
      <c r="V32">
        <f>COUNTIF(B32:M32,"Present")</f>
        <v>4</v>
      </c>
      <c r="W32" s="4">
        <f t="shared" si="1"/>
        <v>0.44444444444444442</v>
      </c>
      <c r="X32" s="5">
        <f>COUNTIF(B32:M32,"Present-Online")</f>
        <v>5</v>
      </c>
      <c r="Y32" s="6">
        <f t="shared" si="2"/>
        <v>0.55555555555555558</v>
      </c>
      <c r="Z32">
        <f>COUNTIF(B32:M32,"Absent")</f>
        <v>0</v>
      </c>
      <c r="AA32" s="6">
        <f t="shared" si="3"/>
        <v>0</v>
      </c>
      <c r="AB32" s="7">
        <f t="shared" si="4"/>
        <v>1</v>
      </c>
    </row>
    <row r="33" spans="1:28" x14ac:dyDescent="0.35">
      <c r="A33" s="12" t="s">
        <v>42</v>
      </c>
      <c r="B33" s="2" t="s">
        <v>4</v>
      </c>
      <c r="C33" s="2" t="s">
        <v>5</v>
      </c>
      <c r="D33" s="2" t="s">
        <v>13</v>
      </c>
      <c r="E33" s="3" t="s">
        <v>5</v>
      </c>
      <c r="F33" s="2" t="s">
        <v>10</v>
      </c>
      <c r="G33" s="2" t="s">
        <v>5</v>
      </c>
      <c r="H33" s="2" t="s">
        <v>4</v>
      </c>
      <c r="I33" s="2" t="s">
        <v>13</v>
      </c>
      <c r="J33" s="2" t="s">
        <v>4</v>
      </c>
      <c r="K33" s="2" t="s">
        <v>10</v>
      </c>
      <c r="L33" s="2" t="s">
        <v>10</v>
      </c>
      <c r="M33" s="2" t="s">
        <v>13</v>
      </c>
      <c r="N33" s="4">
        <f>COUNTIF(B33:M33,"Present")/COUNTIF(B33:M33,"&lt;&gt;No-Class")</f>
        <v>0.33333333333333331</v>
      </c>
      <c r="O33" s="4">
        <f>COUNTIF(B33:M33,"Present-Online")/COUNTIF(B33:M33,"&lt;&gt;No-Class")</f>
        <v>0.33333333333333331</v>
      </c>
      <c r="P33" s="4">
        <f>COUNTIF(B33:M33,"Absent")/COUNTIF(B33:M33,"&lt;&gt;No-Class")</f>
        <v>0.33333333333333331</v>
      </c>
      <c r="Q33" s="4">
        <f t="shared" si="0"/>
        <v>0.66666666666666663</v>
      </c>
      <c r="R33" s="4"/>
      <c r="S33" s="4">
        <f>COUNTIF(B33:M33,"Present")/NETWORKDAYS($B$1,$M$1)</f>
        <v>0.375</v>
      </c>
      <c r="T33" s="4">
        <f>COUNTIF(B33:M33,"Present-Online")/NETWORKDAYS($B$1,$M$1)</f>
        <v>0.375</v>
      </c>
      <c r="V33">
        <f>COUNTIF(B33:M33,"Present")</f>
        <v>3</v>
      </c>
      <c r="W33" s="4">
        <f t="shared" si="1"/>
        <v>0.33333333333333331</v>
      </c>
      <c r="X33" s="5">
        <f>COUNTIF(B33:M33,"Present-Online")</f>
        <v>3</v>
      </c>
      <c r="Y33" s="6">
        <f t="shared" si="2"/>
        <v>0.33333333333333331</v>
      </c>
      <c r="Z33">
        <f>COUNTIF(B33:M33,"Absent")</f>
        <v>3</v>
      </c>
      <c r="AA33" s="6">
        <f t="shared" si="3"/>
        <v>0.33333333333333331</v>
      </c>
      <c r="AB33" s="7">
        <f t="shared" si="4"/>
        <v>0.66666666666666663</v>
      </c>
    </row>
    <row r="34" spans="1:28" x14ac:dyDescent="0.35">
      <c r="A34" s="12" t="s">
        <v>43</v>
      </c>
      <c r="B34" s="2" t="s">
        <v>4</v>
      </c>
      <c r="C34" s="2" t="s">
        <v>13</v>
      </c>
      <c r="D34" s="2" t="s">
        <v>13</v>
      </c>
      <c r="E34" s="3" t="s">
        <v>5</v>
      </c>
      <c r="F34" s="2" t="s">
        <v>10</v>
      </c>
      <c r="G34" s="2" t="s">
        <v>5</v>
      </c>
      <c r="H34" s="2" t="s">
        <v>4</v>
      </c>
      <c r="I34" s="2" t="s">
        <v>11</v>
      </c>
      <c r="J34" s="2" t="s">
        <v>4</v>
      </c>
      <c r="K34" s="2" t="s">
        <v>10</v>
      </c>
      <c r="L34" s="2" t="s">
        <v>10</v>
      </c>
      <c r="M34" s="2" t="s">
        <v>4</v>
      </c>
      <c r="N34" s="4">
        <f>COUNTIF(B34:M34,"Present")/COUNTIF(B34:M34,"&lt;&gt;No-Class")</f>
        <v>0.44444444444444442</v>
      </c>
      <c r="O34" s="4">
        <f>COUNTIF(B34:M34,"Present-Online")/COUNTIF(B34:M34,"&lt;&gt;No-Class")</f>
        <v>0.33333333333333331</v>
      </c>
      <c r="P34" s="4">
        <f>COUNTIF(B34:M34,"Absent")/COUNTIF(B34:M34,"&lt;&gt;No-Class")</f>
        <v>0.22222222222222221</v>
      </c>
      <c r="Q34" s="4">
        <f t="shared" si="0"/>
        <v>0.77777777777777768</v>
      </c>
      <c r="R34" s="4"/>
      <c r="S34" s="4">
        <f>COUNTIF(B34:M34,"Present")/NETWORKDAYS($B$1,$M$1)</f>
        <v>0.5</v>
      </c>
      <c r="T34" s="4">
        <f>COUNTIF(B34:M34,"Present-Online")/NETWORKDAYS($B$1,$M$1)</f>
        <v>0.375</v>
      </c>
      <c r="V34">
        <f>COUNTIF(B34:M34,"Present")</f>
        <v>4</v>
      </c>
      <c r="W34" s="4">
        <f t="shared" si="1"/>
        <v>0.44444444444444442</v>
      </c>
      <c r="X34" s="5">
        <f>COUNTIF(B34:M34,"Present-Online")</f>
        <v>3</v>
      </c>
      <c r="Y34" s="6">
        <f t="shared" si="2"/>
        <v>0.33333333333333331</v>
      </c>
      <c r="Z34">
        <f>COUNTIF(B34:M34,"Absent")</f>
        <v>2</v>
      </c>
      <c r="AA34" s="6">
        <f t="shared" si="3"/>
        <v>0.22222222222222221</v>
      </c>
      <c r="AB34" s="7">
        <f t="shared" si="4"/>
        <v>0.77777777777777768</v>
      </c>
    </row>
    <row r="35" spans="1:28" x14ac:dyDescent="0.35">
      <c r="A35" s="12" t="s">
        <v>44</v>
      </c>
      <c r="B35" s="2" t="s">
        <v>5</v>
      </c>
      <c r="C35" s="2" t="s">
        <v>5</v>
      </c>
      <c r="D35" s="2" t="s">
        <v>5</v>
      </c>
      <c r="E35" s="3" t="s">
        <v>5</v>
      </c>
      <c r="F35" s="2" t="s">
        <v>10</v>
      </c>
      <c r="G35" s="2" t="s">
        <v>5</v>
      </c>
      <c r="H35" s="2" t="s">
        <v>4</v>
      </c>
      <c r="I35" s="2" t="s">
        <v>5</v>
      </c>
      <c r="J35" s="2" t="s">
        <v>13</v>
      </c>
      <c r="K35" s="2" t="s">
        <v>10</v>
      </c>
      <c r="L35" s="2" t="s">
        <v>10</v>
      </c>
      <c r="M35" s="2" t="s">
        <v>13</v>
      </c>
      <c r="N35" s="4">
        <f>COUNTIF(B35:M35,"Present")/COUNTIF(B35:M35,"&lt;&gt;No-Class")</f>
        <v>0.1111111111111111</v>
      </c>
      <c r="O35" s="4">
        <f>COUNTIF(B35:M35,"Present-Online")/COUNTIF(B35:M35,"&lt;&gt;No-Class")</f>
        <v>0.66666666666666663</v>
      </c>
      <c r="P35" s="4">
        <f>COUNTIF(B35:M35,"Absent")/COUNTIF(B35:M35,"&lt;&gt;No-Class")</f>
        <v>0.22222222222222221</v>
      </c>
      <c r="Q35" s="4">
        <f t="shared" si="0"/>
        <v>0.77777777777777768</v>
      </c>
      <c r="R35" s="4"/>
      <c r="S35" s="4">
        <f>COUNTIF(B35:M35,"Present")/NETWORKDAYS($B$1,$M$1)</f>
        <v>0.125</v>
      </c>
      <c r="T35" s="4">
        <f>COUNTIF(B35:M35,"Present-Online")/NETWORKDAYS($B$1,$M$1)</f>
        <v>0.75</v>
      </c>
      <c r="V35">
        <f>COUNTIF(B35:M35,"Present")</f>
        <v>1</v>
      </c>
      <c r="W35" s="4">
        <f t="shared" si="1"/>
        <v>0.1111111111111111</v>
      </c>
      <c r="X35" s="5">
        <f>COUNTIF(B35:M35,"Present-Online")</f>
        <v>6</v>
      </c>
      <c r="Y35" s="6">
        <f t="shared" si="2"/>
        <v>0.66666666666666663</v>
      </c>
      <c r="Z35">
        <f>COUNTIF(B35:M35,"Absent")</f>
        <v>2</v>
      </c>
      <c r="AA35" s="6">
        <f t="shared" si="3"/>
        <v>0.22222222222222221</v>
      </c>
      <c r="AB35" s="7">
        <f t="shared" si="4"/>
        <v>0.77777777777777768</v>
      </c>
    </row>
    <row r="36" spans="1:28" x14ac:dyDescent="0.35">
      <c r="A36" s="12" t="s">
        <v>40</v>
      </c>
      <c r="B36" s="2" t="s">
        <v>5</v>
      </c>
      <c r="C36" s="2" t="s">
        <v>5</v>
      </c>
      <c r="D36" s="2" t="s">
        <v>5</v>
      </c>
      <c r="E36" s="3" t="s">
        <v>5</v>
      </c>
      <c r="F36" s="2" t="s">
        <v>10</v>
      </c>
      <c r="G36" s="2" t="s">
        <v>5</v>
      </c>
      <c r="H36" s="2" t="s">
        <v>4</v>
      </c>
      <c r="I36" s="2" t="s">
        <v>13</v>
      </c>
      <c r="J36" s="2" t="s">
        <v>4</v>
      </c>
      <c r="K36" s="2" t="s">
        <v>10</v>
      </c>
      <c r="L36" s="2" t="s">
        <v>10</v>
      </c>
      <c r="M36" s="2" t="s">
        <v>13</v>
      </c>
      <c r="N36" s="4">
        <f>COUNTIF(B36:M36,"Present")/COUNTIF(B36:M36,"&lt;&gt;No-Class")</f>
        <v>0.22222222222222221</v>
      </c>
      <c r="O36" s="4">
        <f>COUNTIF(B36:M36,"Present-Online")/COUNTIF(B36:M36,"&lt;&gt;No-Class")</f>
        <v>0.55555555555555558</v>
      </c>
      <c r="P36" s="4">
        <f>COUNTIF(B36:M36,"Absent")/COUNTIF(B36:M36,"&lt;&gt;No-Class")</f>
        <v>0.22222222222222221</v>
      </c>
      <c r="Q36" s="4">
        <f t="shared" si="0"/>
        <v>0.77777777777777779</v>
      </c>
      <c r="R36" s="4"/>
      <c r="S36" s="4">
        <f>COUNTIF(B36:M36,"Present")/NETWORKDAYS($B$1,$M$1)</f>
        <v>0.25</v>
      </c>
      <c r="T36" s="4">
        <f>COUNTIF(B36:M36,"Present-Online")/NETWORKDAYS($B$1,$M$1)</f>
        <v>0.625</v>
      </c>
      <c r="V36">
        <f>COUNTIF(B36:M36,"Present")</f>
        <v>2</v>
      </c>
      <c r="W36" s="4">
        <f t="shared" si="1"/>
        <v>0.22222222222222221</v>
      </c>
      <c r="X36" s="5">
        <f>COUNTIF(B36:M36,"Present-Online")</f>
        <v>5</v>
      </c>
      <c r="Y36" s="6">
        <f t="shared" si="2"/>
        <v>0.55555555555555558</v>
      </c>
      <c r="Z36">
        <f>COUNTIF(B36:M36,"Absent")</f>
        <v>2</v>
      </c>
      <c r="AA36" s="6">
        <f t="shared" si="3"/>
        <v>0.22222222222222221</v>
      </c>
      <c r="AB36" s="7">
        <f t="shared" si="4"/>
        <v>0.77777777777777779</v>
      </c>
    </row>
    <row r="37" spans="1:28" x14ac:dyDescent="0.35">
      <c r="A37" s="12" t="s">
        <v>45</v>
      </c>
      <c r="B37" s="2" t="s">
        <v>4</v>
      </c>
      <c r="C37" s="2" t="s">
        <v>4</v>
      </c>
      <c r="D37" s="2" t="s">
        <v>4</v>
      </c>
      <c r="E37" s="3" t="s">
        <v>5</v>
      </c>
      <c r="F37" s="2" t="s">
        <v>10</v>
      </c>
      <c r="G37" s="2" t="s">
        <v>4</v>
      </c>
      <c r="H37" s="2" t="s">
        <v>4</v>
      </c>
      <c r="I37" s="2" t="s">
        <v>5</v>
      </c>
      <c r="J37" s="2" t="s">
        <v>4</v>
      </c>
      <c r="K37" s="2" t="s">
        <v>10</v>
      </c>
      <c r="L37" s="2" t="s">
        <v>10</v>
      </c>
      <c r="M37" s="2" t="s">
        <v>4</v>
      </c>
      <c r="N37" s="4">
        <f>COUNTIF(B37:M37,"Present")/COUNTIF(B37:M37,"&lt;&gt;No-Class")</f>
        <v>0.77777777777777779</v>
      </c>
      <c r="O37" s="4">
        <f>COUNTIF(B37:M37,"Present-Online")/COUNTIF(B37:M37,"&lt;&gt;No-Class")</f>
        <v>0.22222222222222221</v>
      </c>
      <c r="P37" s="4">
        <f>COUNTIF(B37:M37,"Absent")/COUNTIF(B37:M37,"&lt;&gt;No-Class")</f>
        <v>0</v>
      </c>
      <c r="Q37" s="4">
        <f t="shared" si="0"/>
        <v>1</v>
      </c>
      <c r="R37" s="4"/>
      <c r="S37" s="4">
        <f>COUNTIF(B37:M37,"Present")/NETWORKDAYS($B$1,$M$1)</f>
        <v>0.875</v>
      </c>
      <c r="T37" s="4">
        <f>COUNTIF(B37:M37,"Present-Online")/NETWORKDAYS($B$1,$M$1)</f>
        <v>0.25</v>
      </c>
      <c r="V37">
        <f>COUNTIF(B37:M37,"Present")</f>
        <v>7</v>
      </c>
      <c r="W37" s="4">
        <f t="shared" si="1"/>
        <v>0.77777777777777779</v>
      </c>
      <c r="X37" s="5">
        <f>COUNTIF(B37:M37,"Present-Online")</f>
        <v>2</v>
      </c>
      <c r="Y37" s="6">
        <f t="shared" si="2"/>
        <v>0.22222222222222221</v>
      </c>
      <c r="Z37">
        <f>COUNTIF(B37:M37,"Absent")</f>
        <v>0</v>
      </c>
      <c r="AA37" s="6">
        <f t="shared" si="3"/>
        <v>0</v>
      </c>
      <c r="AB37" s="7">
        <f t="shared" si="4"/>
        <v>1</v>
      </c>
    </row>
    <row r="38" spans="1:28" x14ac:dyDescent="0.35">
      <c r="A38" s="12" t="s">
        <v>46</v>
      </c>
      <c r="B38" s="2" t="s">
        <v>4</v>
      </c>
      <c r="C38" s="2" t="s">
        <v>4</v>
      </c>
      <c r="D38" s="2" t="s">
        <v>13</v>
      </c>
      <c r="E38" s="3" t="s">
        <v>5</v>
      </c>
      <c r="F38" s="2" t="s">
        <v>10</v>
      </c>
      <c r="G38" s="2" t="s">
        <v>5</v>
      </c>
      <c r="H38" s="2" t="s">
        <v>13</v>
      </c>
      <c r="I38" s="2" t="s">
        <v>5</v>
      </c>
      <c r="J38" s="2" t="s">
        <v>4</v>
      </c>
      <c r="K38" s="2" t="s">
        <v>10</v>
      </c>
      <c r="L38" s="2" t="s">
        <v>10</v>
      </c>
      <c r="M38" s="2" t="s">
        <v>13</v>
      </c>
      <c r="N38" s="4">
        <f>COUNTIF(B38:M38,"Present")/COUNTIF(B38:M38,"&lt;&gt;No-Class")</f>
        <v>0.33333333333333331</v>
      </c>
      <c r="O38" s="4">
        <f>COUNTIF(B38:M38,"Present-Online")/COUNTIF(B38:M38,"&lt;&gt;No-Class")</f>
        <v>0.33333333333333331</v>
      </c>
      <c r="P38" s="4">
        <f>COUNTIF(B38:M38,"Absent")/COUNTIF(B38:M38,"&lt;&gt;No-Class")</f>
        <v>0.33333333333333331</v>
      </c>
      <c r="Q38" s="4">
        <f t="shared" si="0"/>
        <v>0.66666666666666663</v>
      </c>
      <c r="R38" s="4"/>
      <c r="S38" s="4">
        <f>COUNTIF(B38:M38,"Present")/NETWORKDAYS($B$1,$M$1)</f>
        <v>0.375</v>
      </c>
      <c r="T38" s="4">
        <f>COUNTIF(B38:M38,"Present-Online")/NETWORKDAYS($B$1,$M$1)</f>
        <v>0.375</v>
      </c>
      <c r="V38">
        <f>COUNTIF(B38:M38,"Present")</f>
        <v>3</v>
      </c>
      <c r="W38" s="4">
        <f t="shared" si="1"/>
        <v>0.33333333333333331</v>
      </c>
      <c r="X38" s="5">
        <f>COUNTIF(B38:M38,"Present-Online")</f>
        <v>3</v>
      </c>
      <c r="Y38" s="6">
        <f t="shared" si="2"/>
        <v>0.33333333333333331</v>
      </c>
      <c r="Z38">
        <f>COUNTIF(B38:M38,"Absent")</f>
        <v>3</v>
      </c>
      <c r="AA38" s="6">
        <f t="shared" si="3"/>
        <v>0.33333333333333331</v>
      </c>
      <c r="AB38" s="7">
        <f t="shared" si="4"/>
        <v>0.66666666666666663</v>
      </c>
    </row>
    <row r="39" spans="1:28" x14ac:dyDescent="0.35">
      <c r="A39" s="12" t="s">
        <v>47</v>
      </c>
      <c r="B39" s="2" t="s">
        <v>4</v>
      </c>
      <c r="C39" s="2" t="s">
        <v>4</v>
      </c>
      <c r="D39" s="2" t="s">
        <v>4</v>
      </c>
      <c r="E39" s="3" t="s">
        <v>5</v>
      </c>
      <c r="F39" s="2" t="s">
        <v>10</v>
      </c>
      <c r="G39" s="2" t="s">
        <v>4</v>
      </c>
      <c r="H39" s="2" t="s">
        <v>4</v>
      </c>
      <c r="I39" s="2" t="s">
        <v>4</v>
      </c>
      <c r="J39" s="2" t="s">
        <v>11</v>
      </c>
      <c r="K39" s="2" t="s">
        <v>10</v>
      </c>
      <c r="L39" s="2" t="s">
        <v>10</v>
      </c>
      <c r="M39" s="2" t="s">
        <v>4</v>
      </c>
      <c r="N39" s="4">
        <f>COUNTIF(B39:M39,"Present")/COUNTIF(B39:M39,"&lt;&gt;No-Class")</f>
        <v>0.77777777777777779</v>
      </c>
      <c r="O39" s="4">
        <f>COUNTIF(B39:M39,"Present-Online")/COUNTIF(B39:M39,"&lt;&gt;No-Class")</f>
        <v>0.22222222222222221</v>
      </c>
      <c r="P39" s="4">
        <f>COUNTIF(B39:M39,"Absent")/COUNTIF(B39:M39,"&lt;&gt;No-Class")</f>
        <v>0</v>
      </c>
      <c r="Q39" s="4">
        <f t="shared" si="0"/>
        <v>1</v>
      </c>
      <c r="R39" s="4"/>
      <c r="S39" s="4">
        <f>COUNTIF(B39:M39,"Present")/NETWORKDAYS($B$1,$M$1)</f>
        <v>0.875</v>
      </c>
      <c r="T39" s="4">
        <f>COUNTIF(B39:M39,"Present-Online")/NETWORKDAYS($B$1,$M$1)</f>
        <v>0.25</v>
      </c>
      <c r="V39">
        <f>COUNTIF(B39:M39,"Present")</f>
        <v>7</v>
      </c>
      <c r="W39" s="4">
        <f t="shared" si="1"/>
        <v>0.77777777777777779</v>
      </c>
      <c r="X39" s="5">
        <f>COUNTIF(B39:M39,"Present-Online")</f>
        <v>2</v>
      </c>
      <c r="Y39" s="6">
        <f t="shared" si="2"/>
        <v>0.22222222222222221</v>
      </c>
      <c r="Z39">
        <f>COUNTIF(B39:M39,"Absent")</f>
        <v>0</v>
      </c>
      <c r="AA39" s="6">
        <f t="shared" si="3"/>
        <v>0</v>
      </c>
      <c r="AB39" s="7">
        <f t="shared" si="4"/>
        <v>1</v>
      </c>
    </row>
  </sheetData>
  <dataValidations count="1">
    <dataValidation type="list" allowBlank="1" showInputMessage="1" showErrorMessage="1" sqref="E2:E39" xr:uid="{265B7A4A-E8B4-4D12-8453-B6E6F0371B22}">
      <formula1>$KE$47:$KE$70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DHAGE</dc:creator>
  <cp:lastModifiedBy>MANOJ DHAGE</cp:lastModifiedBy>
  <dcterms:created xsi:type="dcterms:W3CDTF">2015-06-05T18:17:20Z</dcterms:created>
  <dcterms:modified xsi:type="dcterms:W3CDTF">2026-02-03T06:14:23Z</dcterms:modified>
</cp:coreProperties>
</file>