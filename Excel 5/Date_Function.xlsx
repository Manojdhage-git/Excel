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178042a2d924d9f3/Desktop/upGrad/Excel/Excel 5/"/>
    </mc:Choice>
  </mc:AlternateContent>
  <xr:revisionPtr revIDLastSave="41" documentId="13_ncr:1_{E0F62590-94C4-4DE4-8482-9C880A9F1AB8}" xr6:coauthVersionLast="47" xr6:coauthVersionMax="47" xr10:uidLastSave="{52873B87-3EA0-4CB4-BB36-3BD6BA698164}"/>
  <bookViews>
    <workbookView xWindow="-110" yWindow="-110" windowWidth="19420" windowHeight="10300" activeTab="1" xr2:uid="{00000000-000D-0000-FFFF-FFFF00000000}"/>
  </bookViews>
  <sheets>
    <sheet name="Date Functions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2" l="1"/>
  <c r="E22" i="2"/>
  <c r="E20" i="2"/>
  <c r="E13" i="2"/>
  <c r="E11" i="2"/>
  <c r="E9" i="2"/>
  <c r="E7" i="2"/>
  <c r="E6" i="2"/>
  <c r="E4" i="2"/>
  <c r="E3" i="2"/>
  <c r="F21" i="1"/>
  <c r="E19" i="1"/>
  <c r="F17" i="1"/>
  <c r="F15" i="1"/>
  <c r="F14" i="1"/>
  <c r="F13" i="1"/>
  <c r="F12" i="1"/>
  <c r="D11" i="1"/>
  <c r="C11" i="1"/>
  <c r="F8" i="1"/>
  <c r="G6" i="1"/>
  <c r="F6" i="1"/>
  <c r="G4" i="1"/>
  <c r="F4" i="1"/>
  <c r="F2" i="1"/>
</calcChain>
</file>

<file path=xl/sharedStrings.xml><?xml version="1.0" encoding="utf-8"?>
<sst xmlns="http://schemas.openxmlformats.org/spreadsheetml/2006/main" count="82" uniqueCount="80">
  <si>
    <t>Function</t>
  </si>
  <si>
    <t>Meaning</t>
  </si>
  <si>
    <t>Syntax</t>
  </si>
  <si>
    <t>Explanation</t>
  </si>
  <si>
    <t>Example</t>
  </si>
  <si>
    <t>Answer</t>
  </si>
  <si>
    <t>TODAY</t>
  </si>
  <si>
    <t>Gives today’s date</t>
  </si>
  <si>
    <t>=TODAY()</t>
  </si>
  <si>
    <r>
      <t xml:space="preserve">Automatically shows the </t>
    </r>
    <r>
      <rPr>
        <b/>
        <sz val="11"/>
        <color theme="1"/>
        <rFont val="Calibri"/>
        <family val="2"/>
        <scheme val="minor"/>
      </rPr>
      <t>current date</t>
    </r>
    <r>
      <rPr>
        <sz val="11"/>
        <color theme="1"/>
        <rFont val="Calibri"/>
        <family val="2"/>
        <scheme val="minor"/>
      </rPr>
      <t>. Updates every day</t>
    </r>
  </si>
  <si>
    <t>NOW</t>
  </si>
  <si>
    <t>Gives current date &amp; time</t>
  </si>
  <si>
    <t>=NOW()</t>
  </si>
  <si>
    <r>
      <t xml:space="preserve">Shows </t>
    </r>
    <r>
      <rPr>
        <b/>
        <sz val="11"/>
        <color theme="1"/>
        <rFont val="Calibri"/>
        <family val="2"/>
        <scheme val="minor"/>
      </rPr>
      <t>today’s date and current time</t>
    </r>
  </si>
  <si>
    <t>DATE</t>
  </si>
  <si>
    <t>Creates a date</t>
  </si>
  <si>
    <t>=DATE(year,month,day)</t>
  </si>
  <si>
    <r>
      <t xml:space="preserve">Creates a date using </t>
    </r>
    <r>
      <rPr>
        <b/>
        <sz val="11"/>
        <color theme="1"/>
        <rFont val="Calibri"/>
        <family val="2"/>
        <scheme val="minor"/>
      </rPr>
      <t>year, month, day</t>
    </r>
  </si>
  <si>
    <t>=DATE(2024,8,15)</t>
  </si>
  <si>
    <t>Year</t>
  </si>
  <si>
    <t>extracts a four-digit year from a given date,</t>
  </si>
  <si>
    <t>=YEAR(SERIAL_NUMBER)</t>
  </si>
  <si>
    <t>=YEAR(D8)</t>
  </si>
  <si>
    <t>EDATE</t>
  </si>
  <si>
    <t>Adds months to a date</t>
  </si>
  <si>
    <t>=EDATE(start_date,months)</t>
  </si>
  <si>
    <r>
      <t xml:space="preserve">Adds or subtracts </t>
    </r>
    <r>
      <rPr>
        <b/>
        <sz val="11"/>
        <color theme="1"/>
        <rFont val="Calibri"/>
        <family val="2"/>
        <scheme val="minor"/>
      </rPr>
      <t>months</t>
    </r>
    <r>
      <rPr>
        <sz val="11"/>
        <color theme="1"/>
        <rFont val="Calibri"/>
        <family val="2"/>
        <scheme val="minor"/>
      </rPr>
      <t xml:space="preserve"> from a date</t>
    </r>
  </si>
  <si>
    <t>=EDATE("01-01-2024",6)</t>
  </si>
  <si>
    <t>WEEKNUM</t>
  </si>
  <si>
    <t>It returns the week number of a date in a year.</t>
  </si>
  <si>
    <t xml:space="preserve">=WEEKNUM(serial_number, [return_type])
</t>
  </si>
  <si>
    <t>1 Jan → Week 1
15 Jan → Week 3
31 Dec → Week 52 or 53</t>
  </si>
  <si>
    <t>EOMONTH</t>
  </si>
  <si>
    <t>=EOMONTH(start_date,months)</t>
  </si>
  <si>
    <r>
      <t xml:space="preserve">Returns the </t>
    </r>
    <r>
      <rPr>
        <b/>
        <sz val="11"/>
        <color theme="1"/>
        <rFont val="Calibri"/>
        <family val="2"/>
        <scheme val="minor"/>
      </rPr>
      <t>last date of a month</t>
    </r>
  </si>
  <si>
    <t>current</t>
  </si>
  <si>
    <t>Last day of month</t>
  </si>
  <si>
    <t>next</t>
  </si>
  <si>
    <t>WORKDAY</t>
  </si>
  <si>
    <t>=WORKDAY(start_date,days)</t>
  </si>
  <si>
    <r>
      <t xml:space="preserve">Adds days </t>
    </r>
    <r>
      <rPr>
        <b/>
        <sz val="11"/>
        <color theme="1"/>
        <rFont val="Calibri"/>
        <family val="2"/>
        <scheme val="minor"/>
      </rPr>
      <t>excluding Saturday &amp; Sunday</t>
    </r>
  </si>
  <si>
    <t>Adds working days</t>
  </si>
  <si>
    <t>NETWORKDAYS</t>
  </si>
  <si>
    <t>=NETWORKDAYS(start,end)</t>
  </si>
  <si>
    <r>
      <t xml:space="preserve">Counts working days </t>
    </r>
    <r>
      <rPr>
        <b/>
        <sz val="11"/>
        <color theme="1"/>
        <rFont val="Calibri"/>
        <family val="2"/>
        <scheme val="minor"/>
      </rPr>
      <t>between two dates</t>
    </r>
  </si>
  <si>
    <t>=NETWORKDAYS("01-02-2024","28-02-2024")</t>
  </si>
  <si>
    <t>Counts working days</t>
  </si>
  <si>
    <t>Batch_start_date</t>
  </si>
  <si>
    <t>Total_days</t>
  </si>
  <si>
    <t>DATEDIF</t>
  </si>
  <si>
    <t>=DATEDIF(DATE(YYYY,MMM,dd),TODAY(),"Y")</t>
  </si>
  <si>
    <t xml:space="preserve">Return difference between no of year </t>
  </si>
  <si>
    <t>It is a hidden function
It does NOT appear in Formula list / suggestions
RETURN A NUMBER</t>
  </si>
  <si>
    <t xml:space="preserve"> </t>
  </si>
  <si>
    <t>Questions</t>
  </si>
  <si>
    <t>Date</t>
  </si>
  <si>
    <t>Expected_Output</t>
  </si>
  <si>
    <r>
      <t xml:space="preserve">An employee joined on </t>
    </r>
    <r>
      <rPr>
        <b/>
        <sz val="11"/>
        <color rgb="FF000000"/>
        <rFont val="Aptos Narrow"/>
        <family val="2"/>
      </rPr>
      <t>15-06-2020</t>
    </r>
    <r>
      <rPr>
        <sz val="11"/>
        <color rgb="FF000000"/>
        <rFont val="Aptos Narrow"/>
        <family val="2"/>
      </rPr>
      <t>.</t>
    </r>
  </si>
  <si>
    <t>15-06-2020</t>
  </si>
  <si>
    <r>
      <t xml:space="preserve">Calculate the </t>
    </r>
    <r>
      <rPr>
        <b/>
        <sz val="11"/>
        <color rgb="FF000000"/>
        <rFont val="Aptos Narrow"/>
        <family val="2"/>
      </rPr>
      <t>experience in completed years</t>
    </r>
    <r>
      <rPr>
        <sz val="11"/>
        <color rgb="FF000000"/>
        <rFont val="Aptos Narrow"/>
        <family val="2"/>
      </rPr>
      <t xml:space="preserve"> as of today.</t>
    </r>
  </si>
  <si>
    <r>
      <t xml:space="preserve">From a given invoice date(06/12/2001), find the </t>
    </r>
    <r>
      <rPr>
        <b/>
        <sz val="11"/>
        <color rgb="FF000000"/>
        <rFont val="Aptos Narrow"/>
      </rPr>
      <t>last date of that month</t>
    </r>
    <r>
      <rPr>
        <sz val="11"/>
        <color rgb="FF000000"/>
        <rFont val="Aptos Narrow"/>
      </rPr>
      <t>.</t>
    </r>
  </si>
  <si>
    <t>A project starts on 01-03-2026.</t>
  </si>
  <si>
    <t>Find the delivery date after 12 working days.</t>
  </si>
  <si>
    <r>
      <t xml:space="preserve">Find the </t>
    </r>
    <r>
      <rPr>
        <b/>
        <sz val="11"/>
        <color rgb="FF000000"/>
        <rFont val="Aptos Narrow"/>
        <family val="2"/>
      </rPr>
      <t>total number of working days</t>
    </r>
    <r>
      <rPr>
        <sz val="11"/>
        <color rgb="FF000000"/>
        <rFont val="Aptos Narrow"/>
        <family val="2"/>
      </rPr>
      <t xml:space="preserve"> between</t>
    </r>
  </si>
  <si>
    <r>
      <t>01-01-2026</t>
    </r>
    <r>
      <rPr>
        <sz val="11"/>
        <color rgb="FF000000"/>
        <rFont val="Aptos Narrow"/>
        <family val="2"/>
      </rPr>
      <t xml:space="preserve"> and </t>
    </r>
    <r>
      <rPr>
        <b/>
        <sz val="11"/>
        <color rgb="FF000000"/>
        <rFont val="Aptos Narrow"/>
        <family val="2"/>
      </rPr>
      <t>31-01-2026</t>
    </r>
    <r>
      <rPr>
        <sz val="11"/>
        <color rgb="FF000000"/>
        <rFont val="Aptos Narrow"/>
        <family val="2"/>
      </rPr>
      <t>.</t>
    </r>
  </si>
  <si>
    <t>31-01-2026</t>
  </si>
  <si>
    <t>Convert the date 23-08-2025 into  Aug-2025</t>
  </si>
  <si>
    <t>23-08-2025</t>
  </si>
  <si>
    <t>If the due date is before today, show “Overdue”, else show “On Time”.</t>
  </si>
  <si>
    <t>overdue</t>
  </si>
  <si>
    <r>
      <t xml:space="preserve">A subscription starts on </t>
    </r>
    <r>
      <rPr>
        <b/>
        <sz val="11"/>
        <color rgb="FF000000"/>
        <rFont val="Aptos Narrow"/>
      </rPr>
      <t>10-02-2024</t>
    </r>
    <r>
      <rPr>
        <sz val="11"/>
        <color rgb="FF000000"/>
        <rFont val="Aptos Narrow"/>
      </rPr>
      <t xml:space="preserve"> and is valid for </t>
    </r>
    <r>
      <rPr>
        <b/>
        <sz val="11"/>
        <color rgb="FF000000"/>
        <rFont val="Aptos Narrow"/>
      </rPr>
      <t>18 months</t>
    </r>
    <r>
      <rPr>
        <sz val="11"/>
        <color rgb="FF000000"/>
        <rFont val="Aptos Narrow"/>
      </rPr>
      <t>.</t>
    </r>
  </si>
  <si>
    <r>
      <t xml:space="preserve">Find the </t>
    </r>
    <r>
      <rPr>
        <b/>
        <sz val="11"/>
        <color rgb="FF000000"/>
        <rFont val="Aptos Narrow"/>
        <family val="2"/>
      </rPr>
      <t>expiry date</t>
    </r>
    <r>
      <rPr>
        <sz val="11"/>
        <color rgb="FF000000"/>
        <rFont val="Aptos Narrow"/>
        <family val="2"/>
      </rPr>
      <t>.</t>
    </r>
  </si>
  <si>
    <t>Create a dynamic attendance status:</t>
  </si>
  <si>
    <t>Today</t>
  </si>
  <si>
    <t>If date is in future → “Upcoming”</t>
  </si>
  <si>
    <t>If date = today → “Today”</t>
  </si>
  <si>
    <t>If date is past → “Completed”</t>
  </si>
  <si>
    <t>Find the last working day of the current month.</t>
  </si>
  <si>
    <t>Check whether a given date falls on a weekend or weekday.</t>
  </si>
  <si>
    <t>Weekend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</si>
</sst>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</font>
    <font>
      <b/>
      <sz val="11"/>
      <color rgb="FF000000"/>
      <name val="Aptos Narrow"/>
    </font>
    <font>
      <sz val="11"/>
      <color rgb="FF000000"/>
      <name val="Aptos Narrow"/>
      <charset val="1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A6C9EC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/>
    <xf numFmtId="0" fontId="0" fillId="0" borderId="2" xfId="0" quotePrefix="1" applyBorder="1"/>
    <xf numFmtId="14" fontId="0" fillId="0" borderId="2" xfId="0" applyNumberFormat="1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quotePrefix="1" applyBorder="1"/>
    <xf numFmtId="22" fontId="0" fillId="0" borderId="1" xfId="0" applyNumberFormat="1" applyBorder="1"/>
    <xf numFmtId="22" fontId="0" fillId="0" borderId="0" xfId="0" applyNumberFormat="1"/>
    <xf numFmtId="14" fontId="0" fillId="0" borderId="1" xfId="0" applyNumberFormat="1" applyBorder="1"/>
    <xf numFmtId="14" fontId="0" fillId="0" borderId="0" xfId="0" applyNumberFormat="1"/>
    <xf numFmtId="16" fontId="0" fillId="0" borderId="1" xfId="0" applyNumberFormat="1" applyBorder="1"/>
    <xf numFmtId="0" fontId="0" fillId="0" borderId="0" xfId="0" applyAlignment="1">
      <alignment horizontal="left" vertical="center"/>
    </xf>
    <xf numFmtId="16" fontId="0" fillId="0" borderId="1" xfId="0" quotePrefix="1" applyNumberFormat="1" applyBorder="1" applyAlignment="1">
      <alignment vertical="center" wrapText="1"/>
    </xf>
    <xf numFmtId="16" fontId="0" fillId="0" borderId="1" xfId="0" applyNumberFormat="1" applyBorder="1" applyAlignment="1">
      <alignment wrapText="1"/>
    </xf>
    <xf numFmtId="14" fontId="0" fillId="0" borderId="1" xfId="0" applyNumberForma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14" fontId="0" fillId="0" borderId="1" xfId="0" quotePrefix="1" applyNumberFormat="1" applyBorder="1"/>
    <xf numFmtId="0" fontId="1" fillId="0" borderId="3" xfId="0" applyFont="1" applyBorder="1" applyAlignment="1">
      <alignment horizontal="center" vertical="center"/>
    </xf>
    <xf numFmtId="0" fontId="0" fillId="0" borderId="3" xfId="0" applyBorder="1"/>
    <xf numFmtId="0" fontId="0" fillId="0" borderId="3" xfId="0" quotePrefix="1" applyBorder="1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0" fontId="2" fillId="0" borderId="0" xfId="0" applyFont="1"/>
    <xf numFmtId="0" fontId="3" fillId="3" borderId="0" xfId="0" applyFont="1" applyFill="1"/>
    <xf numFmtId="0" fontId="3" fillId="0" borderId="0" xfId="0" applyFont="1"/>
    <xf numFmtId="0" fontId="4" fillId="0" borderId="0" xfId="0" applyFont="1"/>
    <xf numFmtId="14" fontId="4" fillId="0" borderId="0" xfId="0" applyNumberFormat="1" applyFont="1"/>
    <xf numFmtId="14" fontId="3" fillId="0" borderId="0" xfId="0" applyNumberFormat="1" applyFont="1"/>
    <xf numFmtId="14" fontId="2" fillId="0" borderId="0" xfId="0" applyNumberFormat="1" applyFont="1"/>
    <xf numFmtId="0" fontId="2" fillId="0" borderId="0" xfId="0" applyFont="1" applyAlignment="1">
      <alignment wrapText="1"/>
    </xf>
    <xf numFmtId="16" fontId="3" fillId="0" borderId="0" xfId="0" applyNumberFormat="1" applyFont="1"/>
    <xf numFmtId="0" fontId="2" fillId="0" borderId="0" xfId="0" applyFont="1"/>
    <xf numFmtId="14" fontId="6" fillId="0" borderId="0" xfId="0" applyNumberFormat="1" applyFont="1"/>
    <xf numFmtId="0" fontId="6" fillId="0" borderId="0" xfId="0" applyFont="1"/>
    <xf numFmtId="14" fontId="3" fillId="0" borderId="0" xfId="0" applyNumberFormat="1" applyFont="1"/>
    <xf numFmtId="0" fontId="3" fillId="0" borderId="0" xfId="0" applyFont="1"/>
    <xf numFmtId="14" fontId="2" fillId="0" borderId="0" xfId="0" applyNumberFormat="1" applyFont="1"/>
    <xf numFmtId="14" fontId="4" fillId="0" borderId="0" xfId="0" applyNumberFormat="1" applyFont="1"/>
    <xf numFmtId="0" fontId="4" fillId="0" borderId="0" xfId="0" applyFont="1"/>
    <xf numFmtId="0" fontId="2" fillId="0" borderId="0" xfId="0" applyFont="1" applyAlignment="1">
      <alignment wrapText="1"/>
    </xf>
    <xf numFmtId="14" fontId="2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opLeftCell="A11" workbookViewId="0">
      <selection activeCell="A12" sqref="A12"/>
    </sheetView>
  </sheetViews>
  <sheetFormatPr defaultRowHeight="14.5" x14ac:dyDescent="0.35"/>
  <cols>
    <col min="1" max="1" width="36.81640625" bestFit="1" customWidth="1"/>
    <col min="2" max="2" width="40.7265625" bestFit="1" customWidth="1"/>
    <col min="3" max="3" width="47" bestFit="1" customWidth="1"/>
    <col min="4" max="4" width="66" bestFit="1" customWidth="1"/>
    <col min="5" max="5" width="63.26953125" customWidth="1"/>
    <col min="6" max="6" width="18" bestFit="1" customWidth="1"/>
    <col min="7" max="7" width="18.81640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35">
      <c r="A2" s="2" t="s">
        <v>6</v>
      </c>
      <c r="B2" s="3" t="s">
        <v>7</v>
      </c>
      <c r="C2" s="4" t="s">
        <v>8</v>
      </c>
      <c r="D2" s="3" t="s">
        <v>9</v>
      </c>
      <c r="E2" s="4" t="s">
        <v>8</v>
      </c>
      <c r="F2" s="5">
        <f ca="1">TODAY()</f>
        <v>46055</v>
      </c>
    </row>
    <row r="3" spans="1:7" x14ac:dyDescent="0.35">
      <c r="A3" s="2"/>
      <c r="B3" s="3"/>
      <c r="C3" s="4"/>
      <c r="D3" s="3"/>
      <c r="E3" s="4"/>
      <c r="F3" s="5"/>
    </row>
    <row r="4" spans="1:7" x14ac:dyDescent="0.35">
      <c r="A4" s="6" t="s">
        <v>10</v>
      </c>
      <c r="B4" s="7" t="s">
        <v>11</v>
      </c>
      <c r="C4" s="8" t="s">
        <v>12</v>
      </c>
      <c r="D4" s="7" t="s">
        <v>13</v>
      </c>
      <c r="E4" s="8" t="s">
        <v>12</v>
      </c>
      <c r="F4" s="9">
        <f ca="1">NOW()</f>
        <v>46055.914755324076</v>
      </c>
      <c r="G4" s="10">
        <f ca="1">NOW()</f>
        <v>46055.914755324076</v>
      </c>
    </row>
    <row r="5" spans="1:7" x14ac:dyDescent="0.35">
      <c r="A5" s="6"/>
      <c r="B5" s="7"/>
      <c r="C5" s="8"/>
      <c r="D5" s="7"/>
      <c r="E5" s="8"/>
      <c r="F5" s="9"/>
    </row>
    <row r="6" spans="1:7" x14ac:dyDescent="0.35">
      <c r="A6" s="6" t="s">
        <v>14</v>
      </c>
      <c r="B6" s="7" t="s">
        <v>15</v>
      </c>
      <c r="C6" s="8" t="s">
        <v>16</v>
      </c>
      <c r="D6" s="7" t="s">
        <v>17</v>
      </c>
      <c r="E6" s="8" t="s">
        <v>18</v>
      </c>
      <c r="F6" s="11">
        <f>DATE(2025,3,23)</f>
        <v>45739</v>
      </c>
      <c r="G6" s="12">
        <f>DATE(2022,3,12)</f>
        <v>44632</v>
      </c>
    </row>
    <row r="7" spans="1:7" x14ac:dyDescent="0.35">
      <c r="A7" s="6"/>
      <c r="B7" s="7"/>
      <c r="C7" s="8"/>
      <c r="D7" s="7"/>
      <c r="E7" s="8"/>
      <c r="F7" s="11"/>
    </row>
    <row r="8" spans="1:7" x14ac:dyDescent="0.35">
      <c r="A8" s="6" t="s">
        <v>19</v>
      </c>
      <c r="B8" s="7" t="s">
        <v>20</v>
      </c>
      <c r="C8" s="8" t="s">
        <v>21</v>
      </c>
      <c r="D8" s="11">
        <v>45274</v>
      </c>
      <c r="E8" s="8" t="s">
        <v>22</v>
      </c>
      <c r="F8" s="7">
        <f>YEAR(D8)</f>
        <v>2023</v>
      </c>
    </row>
    <row r="9" spans="1:7" x14ac:dyDescent="0.35">
      <c r="A9" s="6"/>
      <c r="B9" s="7"/>
      <c r="C9" s="8"/>
      <c r="D9" s="7"/>
      <c r="E9" s="8"/>
      <c r="F9" s="7"/>
    </row>
    <row r="10" spans="1:7" x14ac:dyDescent="0.35">
      <c r="A10" s="6" t="s">
        <v>23</v>
      </c>
      <c r="B10" s="7" t="s">
        <v>24</v>
      </c>
      <c r="C10" s="8" t="s">
        <v>25</v>
      </c>
      <c r="D10" s="7" t="s">
        <v>26</v>
      </c>
      <c r="E10" s="8" t="s">
        <v>27</v>
      </c>
      <c r="F10" s="11"/>
    </row>
    <row r="11" spans="1:7" x14ac:dyDescent="0.35">
      <c r="A11" s="6"/>
      <c r="B11" s="13">
        <v>46046</v>
      </c>
      <c r="C11" s="13">
        <f>EDATE(B11,3)</f>
        <v>46136</v>
      </c>
      <c r="D11" s="13">
        <f>EDATE(C11,2)</f>
        <v>46197</v>
      </c>
      <c r="E11" s="13"/>
      <c r="F11" s="13"/>
    </row>
    <row r="12" spans="1:7" ht="72.5" x14ac:dyDescent="0.35">
      <c r="A12" s="6" t="s">
        <v>28</v>
      </c>
      <c r="B12" s="14" t="s">
        <v>29</v>
      </c>
      <c r="C12" s="15" t="s">
        <v>30</v>
      </c>
      <c r="D12" s="16" t="s">
        <v>31</v>
      </c>
      <c r="E12" s="17">
        <v>46055</v>
      </c>
      <c r="F12" s="18">
        <f>WEEKNUM(E12,1)</f>
        <v>6</v>
      </c>
    </row>
    <row r="13" spans="1:7" x14ac:dyDescent="0.35">
      <c r="A13" s="6" t="s">
        <v>32</v>
      </c>
      <c r="B13" s="13"/>
      <c r="C13" s="8" t="s">
        <v>33</v>
      </c>
      <c r="D13" s="7" t="s">
        <v>34</v>
      </c>
      <c r="E13" s="8"/>
      <c r="F13" s="11">
        <f>EOMONTH(E12,0)</f>
        <v>46081</v>
      </c>
      <c r="G13" t="s">
        <v>35</v>
      </c>
    </row>
    <row r="14" spans="1:7" x14ac:dyDescent="0.35">
      <c r="A14" s="6"/>
      <c r="B14" s="7" t="s">
        <v>36</v>
      </c>
      <c r="C14" s="8"/>
      <c r="D14" s="7"/>
      <c r="E14" s="8"/>
      <c r="F14" s="11">
        <f>EOMONTH(E12,-1)</f>
        <v>46053</v>
      </c>
      <c r="G14" t="s">
        <v>37</v>
      </c>
    </row>
    <row r="15" spans="1:7" x14ac:dyDescent="0.35">
      <c r="A15" s="6" t="s">
        <v>38</v>
      </c>
      <c r="B15" s="7"/>
      <c r="C15" s="8" t="s">
        <v>39</v>
      </c>
      <c r="D15" s="7" t="s">
        <v>40</v>
      </c>
      <c r="E15" s="19"/>
      <c r="F15" s="11">
        <f ca="1">WORKDAY(TODAY(),12,)</f>
        <v>46071</v>
      </c>
    </row>
    <row r="16" spans="1:7" x14ac:dyDescent="0.35">
      <c r="A16" s="6"/>
      <c r="B16" s="7" t="s">
        <v>41</v>
      </c>
      <c r="C16" s="8"/>
      <c r="D16" s="7"/>
      <c r="E16" s="8"/>
      <c r="F16" s="7"/>
    </row>
    <row r="17" spans="1:6" x14ac:dyDescent="0.35">
      <c r="A17" s="20" t="s">
        <v>42</v>
      </c>
      <c r="B17" s="21"/>
      <c r="C17" s="22" t="s">
        <v>43</v>
      </c>
      <c r="D17" s="21" t="s">
        <v>44</v>
      </c>
      <c r="E17" s="22" t="s">
        <v>45</v>
      </c>
      <c r="F17" s="7">
        <f ca="1">NETWORKDAYS("1/19/2026",TODAY(),)</f>
        <v>11</v>
      </c>
    </row>
    <row r="18" spans="1:6" x14ac:dyDescent="0.35">
      <c r="A18" s="7"/>
      <c r="B18" s="7" t="s">
        <v>46</v>
      </c>
      <c r="C18" s="7"/>
      <c r="D18" s="23" t="s">
        <v>47</v>
      </c>
      <c r="E18" s="23" t="s">
        <v>48</v>
      </c>
    </row>
    <row r="19" spans="1:6" x14ac:dyDescent="0.35">
      <c r="A19" s="7"/>
      <c r="B19" s="7"/>
      <c r="C19" s="7"/>
      <c r="D19" s="24">
        <v>46041</v>
      </c>
      <c r="E19" s="23">
        <f ca="1">NETWORKDAYS(D19,TODAY(),4)</f>
        <v>11</v>
      </c>
    </row>
    <row r="20" spans="1:6" x14ac:dyDescent="0.35">
      <c r="A20" s="7"/>
      <c r="B20" s="7"/>
      <c r="C20" s="7"/>
      <c r="D20" s="7"/>
      <c r="E20" s="7"/>
    </row>
    <row r="21" spans="1:6" x14ac:dyDescent="0.35">
      <c r="A21" s="7" t="s">
        <v>49</v>
      </c>
      <c r="B21" s="7"/>
      <c r="C21" s="8" t="s">
        <v>50</v>
      </c>
      <c r="D21" s="7" t="s">
        <v>51</v>
      </c>
      <c r="E21" s="11">
        <v>37231</v>
      </c>
      <c r="F21">
        <f ca="1">DATEDIF(DATE(2001,6,12),TODAY(),"Y")</f>
        <v>24</v>
      </c>
    </row>
    <row r="22" spans="1:6" ht="58" x14ac:dyDescent="0.35">
      <c r="A22" s="7"/>
      <c r="B22" s="25" t="s">
        <v>52</v>
      </c>
      <c r="C22" s="7"/>
      <c r="D22" s="7"/>
      <c r="E22" s="7"/>
    </row>
    <row r="23" spans="1:6" x14ac:dyDescent="0.35">
      <c r="D23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7A233-6CB7-4842-A9DB-98CC2E415E42}">
  <dimension ref="A1:E22"/>
  <sheetViews>
    <sheetView tabSelected="1" topLeftCell="A15" workbookViewId="0">
      <selection activeCell="E22" sqref="E22"/>
    </sheetView>
  </sheetViews>
  <sheetFormatPr defaultRowHeight="14.5" x14ac:dyDescent="0.35"/>
  <cols>
    <col min="2" max="2" width="64.81640625" customWidth="1"/>
    <col min="3" max="3" width="26.7265625" customWidth="1"/>
    <col min="4" max="4" width="16.54296875" bestFit="1" customWidth="1"/>
    <col min="5" max="5" width="11.1796875" bestFit="1" customWidth="1"/>
  </cols>
  <sheetData>
    <row r="1" spans="1:5" x14ac:dyDescent="0.35">
      <c r="A1" s="26"/>
      <c r="B1" s="27" t="s">
        <v>54</v>
      </c>
      <c r="C1" s="27" t="s">
        <v>55</v>
      </c>
      <c r="D1" s="27" t="s">
        <v>56</v>
      </c>
    </row>
    <row r="2" spans="1:5" x14ac:dyDescent="0.35">
      <c r="A2" s="26">
        <v>1</v>
      </c>
      <c r="B2" s="26" t="s">
        <v>57</v>
      </c>
      <c r="C2" s="35" t="s">
        <v>58</v>
      </c>
      <c r="D2" s="39">
        <v>5</v>
      </c>
    </row>
    <row r="3" spans="1:5" x14ac:dyDescent="0.35">
      <c r="A3" s="26"/>
      <c r="B3" s="26" t="s">
        <v>59</v>
      </c>
      <c r="C3" s="35"/>
      <c r="D3" s="39"/>
      <c r="E3">
        <f ca="1">DATEDIF(DATE(2020,6,15),TODAY(),"Y")</f>
        <v>5</v>
      </c>
    </row>
    <row r="4" spans="1:5" x14ac:dyDescent="0.35">
      <c r="A4" s="26">
        <v>2</v>
      </c>
      <c r="B4" s="29" t="s">
        <v>60</v>
      </c>
      <c r="C4" s="30">
        <v>37054</v>
      </c>
      <c r="D4" s="31">
        <v>37072</v>
      </c>
      <c r="E4" s="12">
        <f>EOMONTH(C4,0)</f>
        <v>37072</v>
      </c>
    </row>
    <row r="5" spans="1:5" x14ac:dyDescent="0.35">
      <c r="A5" s="26">
        <v>3</v>
      </c>
      <c r="B5" s="29" t="s">
        <v>61</v>
      </c>
      <c r="C5" s="41">
        <v>46025</v>
      </c>
      <c r="D5" s="38">
        <v>46042</v>
      </c>
    </row>
    <row r="6" spans="1:5" x14ac:dyDescent="0.35">
      <c r="A6" s="26"/>
      <c r="B6" s="29" t="s">
        <v>62</v>
      </c>
      <c r="C6" s="42"/>
      <c r="D6" s="39"/>
      <c r="E6" s="12">
        <f>WORKDAY(C5,12)</f>
        <v>46042</v>
      </c>
    </row>
    <row r="7" spans="1:5" x14ac:dyDescent="0.35">
      <c r="A7" s="26">
        <v>4</v>
      </c>
      <c r="B7" s="26" t="s">
        <v>63</v>
      </c>
      <c r="C7" s="32">
        <v>46023</v>
      </c>
      <c r="D7" s="39">
        <v>22</v>
      </c>
      <c r="E7">
        <f>NETWORKDAYS(DATE(2026,1,1),DATE(2026,1,31))</f>
        <v>22</v>
      </c>
    </row>
    <row r="8" spans="1:5" x14ac:dyDescent="0.35">
      <c r="A8" s="26"/>
      <c r="B8" s="28" t="s">
        <v>64</v>
      </c>
      <c r="C8" s="32" t="s">
        <v>65</v>
      </c>
      <c r="D8" s="39"/>
    </row>
    <row r="9" spans="1:5" x14ac:dyDescent="0.35">
      <c r="A9" s="26">
        <v>5</v>
      </c>
      <c r="B9" s="33" t="s">
        <v>66</v>
      </c>
      <c r="C9" s="33" t="s">
        <v>67</v>
      </c>
      <c r="D9" s="34">
        <v>46259</v>
      </c>
      <c r="E9" t="str">
        <f>TEXT(DATE(2025,8,23),"yy-mmm")</f>
        <v>25-Aug</v>
      </c>
    </row>
    <row r="10" spans="1:5" x14ac:dyDescent="0.35">
      <c r="A10" s="35">
        <v>6</v>
      </c>
      <c r="B10" s="43" t="s">
        <v>68</v>
      </c>
      <c r="C10" s="44">
        <v>46054</v>
      </c>
      <c r="D10" s="39" t="s">
        <v>69</v>
      </c>
    </row>
    <row r="11" spans="1:5" x14ac:dyDescent="0.35">
      <c r="A11" s="35"/>
      <c r="B11" s="43"/>
      <c r="C11" s="43"/>
      <c r="D11" s="39"/>
      <c r="E11" t="str">
        <f ca="1">IF(C10&lt;TODAY(),"overdue","On time")</f>
        <v>overdue</v>
      </c>
    </row>
    <row r="12" spans="1:5" x14ac:dyDescent="0.35">
      <c r="A12" s="35">
        <v>7</v>
      </c>
      <c r="B12" s="29" t="s">
        <v>70</v>
      </c>
      <c r="C12" s="36">
        <v>45567</v>
      </c>
      <c r="D12" s="38">
        <v>46057</v>
      </c>
    </row>
    <row r="13" spans="1:5" x14ac:dyDescent="0.35">
      <c r="A13" s="35"/>
      <c r="B13" s="26" t="s">
        <v>71</v>
      </c>
      <c r="C13" s="37"/>
      <c r="D13" s="39"/>
      <c r="E13" s="12">
        <f>EDATE(C12,18)</f>
        <v>46114</v>
      </c>
    </row>
    <row r="14" spans="1:5" x14ac:dyDescent="0.35">
      <c r="A14" s="35">
        <v>8</v>
      </c>
      <c r="B14" s="33" t="s">
        <v>72</v>
      </c>
      <c r="C14" s="40">
        <v>46055</v>
      </c>
      <c r="D14" s="39" t="s">
        <v>73</v>
      </c>
    </row>
    <row r="15" spans="1:5" x14ac:dyDescent="0.35">
      <c r="A15" s="35"/>
      <c r="B15" s="33"/>
      <c r="C15" s="35"/>
      <c r="D15" s="39"/>
    </row>
    <row r="16" spans="1:5" x14ac:dyDescent="0.35">
      <c r="A16" s="35"/>
      <c r="B16" s="33" t="s">
        <v>74</v>
      </c>
      <c r="C16" s="35"/>
      <c r="D16" s="39"/>
    </row>
    <row r="17" spans="1:5" x14ac:dyDescent="0.35">
      <c r="A17" s="35"/>
      <c r="B17" s="33"/>
      <c r="C17" s="35"/>
      <c r="D17" s="39"/>
    </row>
    <row r="18" spans="1:5" x14ac:dyDescent="0.35">
      <c r="A18" s="35"/>
      <c r="B18" s="33" t="s">
        <v>75</v>
      </c>
      <c r="C18" s="35"/>
      <c r="D18" s="39"/>
    </row>
    <row r="19" spans="1:5" x14ac:dyDescent="0.35">
      <c r="A19" s="35"/>
      <c r="B19" s="33"/>
      <c r="C19" s="35"/>
      <c r="D19" s="39"/>
    </row>
    <row r="20" spans="1:5" x14ac:dyDescent="0.35">
      <c r="A20" s="35"/>
      <c r="B20" s="33" t="s">
        <v>76</v>
      </c>
      <c r="C20" s="35"/>
      <c r="D20" s="39"/>
      <c r="E20" t="str">
        <f ca="1">IF(C14&gt;TODAY(),"Upcoming",IF(C14=TODAY(),"Today","Completed"))</f>
        <v>Today</v>
      </c>
    </row>
    <row r="21" spans="1:5" x14ac:dyDescent="0.35">
      <c r="A21" s="26">
        <v>9</v>
      </c>
      <c r="B21" s="26" t="s">
        <v>77</v>
      </c>
      <c r="C21" s="26"/>
      <c r="D21" s="31">
        <v>46080</v>
      </c>
      <c r="E21" s="12">
        <f ca="1">WORKDAY(EOMONTH(TODAY(),0)+1,-1)</f>
        <v>46080</v>
      </c>
    </row>
    <row r="22" spans="1:5" x14ac:dyDescent="0.35">
      <c r="A22" s="26">
        <v>10</v>
      </c>
      <c r="B22" s="26" t="s">
        <v>78</v>
      </c>
      <c r="C22" s="32">
        <v>46054</v>
      </c>
      <c r="D22" s="28" t="s">
        <v>79</v>
      </c>
      <c r="E22" t="str">
        <f>IF(WEEKDAY(C22&gt;5,2),"weekend","weekday")</f>
        <v>weekend</v>
      </c>
    </row>
  </sheetData>
  <mergeCells count="15">
    <mergeCell ref="A10:A11"/>
    <mergeCell ref="B10:B11"/>
    <mergeCell ref="C10:C11"/>
    <mergeCell ref="D10:D11"/>
    <mergeCell ref="C2:C3"/>
    <mergeCell ref="D2:D3"/>
    <mergeCell ref="C5:C6"/>
    <mergeCell ref="D5:D6"/>
    <mergeCell ref="D7:D8"/>
    <mergeCell ref="A12:A13"/>
    <mergeCell ref="C12:C13"/>
    <mergeCell ref="D12:D13"/>
    <mergeCell ref="A14:A20"/>
    <mergeCell ref="C14:C20"/>
    <mergeCell ref="D14:D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Date Functions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DHAGE</dc:creator>
  <cp:lastModifiedBy>MANOJ DHAGE</cp:lastModifiedBy>
  <dcterms:created xsi:type="dcterms:W3CDTF">2015-06-05T18:17:20Z</dcterms:created>
  <dcterms:modified xsi:type="dcterms:W3CDTF">2026-02-02T16:27:17Z</dcterms:modified>
</cp:coreProperties>
</file>