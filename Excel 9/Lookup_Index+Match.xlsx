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78042a2d924d9f3/Desktop/upGrad/Excel/Excel 9/"/>
    </mc:Choice>
  </mc:AlternateContent>
  <xr:revisionPtr revIDLastSave="557" documentId="8_{B9F59672-56A0-4D13-97AD-ADED1586FEA9}" xr6:coauthVersionLast="47" xr6:coauthVersionMax="47" xr10:uidLastSave="{EF214A99-1F69-4A09-BE71-09E81DDF6937}"/>
  <bookViews>
    <workbookView xWindow="-110" yWindow="-110" windowWidth="19420" windowHeight="10300" xr2:uid="{DD8A61CF-B685-4D11-884D-297F072A66CD}"/>
  </bookViews>
  <sheets>
    <sheet name="Sales" sheetId="1" r:id="rId1"/>
    <sheet name="Sheet1" sheetId="8" r:id="rId2"/>
    <sheet name="Question" sheetId="6" r:id="rId3"/>
    <sheet name="Index+Match" sheetId="7" r:id="rId4"/>
    <sheet name="Hlookup" sheetId="3" r:id="rId5"/>
    <sheet name="Vloopup" sheetId="2" r:id="rId6"/>
    <sheet name="Xlookup" sheetId="4" r:id="rId7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8" l="1"/>
  <c r="L6" i="8" s="1"/>
  <c r="M6" i="8" s="1"/>
  <c r="L27" i="1"/>
  <c r="M27" i="1" s="1"/>
  <c r="N27" i="1" s="1"/>
  <c r="J32" i="1" a="1"/>
  <c r="J32" i="1" s="1"/>
  <c r="L23" i="1" a="1"/>
  <c r="L23" i="1" s="1"/>
  <c r="L20" i="1" a="1"/>
  <c r="L20" i="1" s="1"/>
  <c r="L21" i="1" a="1"/>
  <c r="L21" i="1" s="1"/>
  <c r="L22" i="1" a="1"/>
  <c r="L22" i="1" s="1"/>
  <c r="L6" i="1" a="1"/>
  <c r="L6" i="1" s="1"/>
  <c r="P5" i="1" a="1"/>
  <c r="P5" i="1" s="1"/>
  <c r="O5" i="1" a="1"/>
  <c r="O5" i="1" s="1"/>
  <c r="M13" i="1"/>
  <c r="N13" i="1"/>
  <c r="M14" i="1"/>
  <c r="N14" i="1"/>
  <c r="M15" i="1"/>
  <c r="N15" i="1"/>
  <c r="M16" i="1"/>
  <c r="N16" i="1"/>
  <c r="L14" i="1"/>
  <c r="L15" i="1"/>
  <c r="L16" i="1"/>
  <c r="K20" i="1"/>
  <c r="K21" i="1"/>
  <c r="K22" i="1"/>
  <c r="K19" i="1"/>
  <c r="L19" i="1" s="1" a="1"/>
  <c r="L19" i="1" s="1"/>
  <c r="L13" i="1"/>
  <c r="D29" i="6" a="1"/>
  <c r="D29" i="6" s="1"/>
  <c r="C29" i="6"/>
  <c r="C30" i="6" a="1"/>
  <c r="C30" i="6" s="1"/>
  <c r="C34" i="6" a="1"/>
  <c r="C34" i="6" s="1"/>
  <c r="C32" i="6" a="1"/>
  <c r="C32" i="6" s="1"/>
  <c r="C37" i="6" a="1"/>
  <c r="C37" i="6" s="1"/>
  <c r="C27" i="6"/>
  <c r="C26" i="6"/>
  <c r="C25" i="6"/>
  <c r="C24" i="6"/>
  <c r="C23" i="6"/>
  <c r="I18" i="7"/>
  <c r="I19" i="7" a="1"/>
  <c r="I19" i="7" s="1"/>
  <c r="I17" i="7"/>
  <c r="I11" i="7"/>
  <c r="I10" i="7"/>
  <c r="I9" i="7"/>
  <c r="D2" i="6"/>
  <c r="C21" i="6"/>
  <c r="C6" i="6"/>
  <c r="C4" i="6"/>
  <c r="C3" i="6"/>
  <c r="C2" i="6"/>
  <c r="C4" i="4" a="1"/>
  <c r="C4" i="4" s="1"/>
  <c r="C5" i="3" a="1"/>
  <c r="C5" i="3" s="1"/>
  <c r="C4" i="3" a="1"/>
  <c r="C4" i="3" s="1"/>
  <c r="C5" i="2"/>
  <c r="C4" i="2"/>
  <c r="C3" i="2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H30" i="6" l="1" a="1"/>
  <c r="H30" i="6" s="1"/>
  <c r="C6" i="2"/>
  <c r="C3" i="3" a="1"/>
  <c r="C3" i="3" s="1"/>
  <c r="C7" i="2"/>
  <c r="C3" i="4" a="1"/>
  <c r="C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<sst xmlns="http://schemas.openxmlformats.org/spreadsheetml/2006/main" count="373" uniqueCount="156">
  <si>
    <t>Order ID</t>
  </si>
  <si>
    <t>Due Date</t>
  </si>
  <si>
    <t>Name</t>
  </si>
  <si>
    <t>Gender</t>
  </si>
  <si>
    <t>Country</t>
  </si>
  <si>
    <t>Units</t>
  </si>
  <si>
    <t>Country_Units</t>
  </si>
  <si>
    <t>Revenue</t>
  </si>
  <si>
    <t>2/13/2024</t>
  </si>
  <si>
    <t>Janet Murphy</t>
  </si>
  <si>
    <t>Female</t>
  </si>
  <si>
    <t>FR</t>
  </si>
  <si>
    <t>2/23/2024</t>
  </si>
  <si>
    <t>Janice Clark</t>
  </si>
  <si>
    <t>IT</t>
  </si>
  <si>
    <t>2/14/2024</t>
  </si>
  <si>
    <t>Charlotte Walker</t>
  </si>
  <si>
    <t>Doris Nguyen</t>
  </si>
  <si>
    <t>Keith Roberts</t>
  </si>
  <si>
    <t>Male</t>
  </si>
  <si>
    <t>UK</t>
  </si>
  <si>
    <t>Kelly Jones</t>
  </si>
  <si>
    <t>JP</t>
  </si>
  <si>
    <t>Kennedi Singh</t>
  </si>
  <si>
    <t>ES</t>
  </si>
  <si>
    <t>Joseph Mitchell</t>
  </si>
  <si>
    <t>Steven Simpson</t>
  </si>
  <si>
    <t>US</t>
  </si>
  <si>
    <t>Kenneth Anderson</t>
  </si>
  <si>
    <t>5/14/2024</t>
  </si>
  <si>
    <t>Nicholas Gerrard</t>
  </si>
  <si>
    <t>Judith Lopez</t>
  </si>
  <si>
    <t>Hannah Garcia</t>
  </si>
  <si>
    <t>Marilyn Allen</t>
  </si>
  <si>
    <t>Brendan Walls</t>
  </si>
  <si>
    <t>Carolyn Muir</t>
  </si>
  <si>
    <t>2/27/2024</t>
  </si>
  <si>
    <t>Teresa Jarris</t>
  </si>
  <si>
    <t>2/22/2024</t>
  </si>
  <si>
    <t>Beverly Young</t>
  </si>
  <si>
    <t>Brittany Hill</t>
  </si>
  <si>
    <t>6/16/2024</t>
  </si>
  <si>
    <t>Christian Carter</t>
  </si>
  <si>
    <t>7/26/2024</t>
  </si>
  <si>
    <t>Gary Sinclair</t>
  </si>
  <si>
    <t>Ivan Hines</t>
  </si>
  <si>
    <t>4/17/2024</t>
  </si>
  <si>
    <t>Jonah Higgins</t>
  </si>
  <si>
    <t>Lucia Mckay</t>
  </si>
  <si>
    <t>Jaylynn Knapp</t>
  </si>
  <si>
    <t>2/17/2024</t>
  </si>
  <si>
    <t>Bryce Carpenter</t>
  </si>
  <si>
    <t>Michael Filson</t>
  </si>
  <si>
    <t>Thomas Clark</t>
  </si>
  <si>
    <t>Vlookup</t>
  </si>
  <si>
    <t>Using Order ID 10507, find the Revenue.</t>
  </si>
  <si>
    <t>Find the Name of the customer whose Order ID is 10486.</t>
  </si>
  <si>
    <t>Using Order ID 10546, fetch the Country.</t>
  </si>
  <si>
    <t>Using Order ID 10523, return the Country_Units value.</t>
  </si>
  <si>
    <t>find Units for Order ID 99999.</t>
  </si>
  <si>
    <t>Hlookup</t>
  </si>
  <si>
    <t>Using Order ID 10507, find the Revenue using HLOOKUP.</t>
  </si>
  <si>
    <t>Find the Country for Order ID 10534.</t>
  </si>
  <si>
    <t>Using HLOOKUP, fetch Units for Order ID 10537.</t>
  </si>
  <si>
    <t>Xlookup</t>
  </si>
  <si>
    <t>Find the Order ID for Customer Name = "Janet Murphy"</t>
  </si>
  <si>
    <t xml:space="preserve">Find Units for Order ID = 99999
If not found, show "Order Not Available"
</t>
  </si>
  <si>
    <t>Find the Revenue for Order ID = 10523</t>
  </si>
  <si>
    <t>Order ID = 10478 appears twice.</t>
  </si>
  <si>
    <t>Find the Units from the latest entry</t>
  </si>
  <si>
    <t>Index+Match</t>
  </si>
  <si>
    <r>
      <t xml:space="preserve">Find </t>
    </r>
    <r>
      <rPr>
        <b/>
        <sz val="11"/>
        <color theme="1"/>
        <rFont val="Aptos Narrow"/>
        <family val="2"/>
        <scheme val="minor"/>
      </rPr>
      <t>Revenue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Order ID = 10507</t>
    </r>
  </si>
  <si>
    <r>
      <t xml:space="preserve">Find </t>
    </r>
    <r>
      <rPr>
        <b/>
        <sz val="11"/>
        <color theme="1"/>
        <rFont val="Aptos Narrow"/>
        <family val="2"/>
        <scheme val="minor"/>
      </rPr>
      <t>Country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Order ID = 10486</t>
    </r>
  </si>
  <si>
    <r>
      <t xml:space="preserve">Find </t>
    </r>
    <r>
      <rPr>
        <b/>
        <sz val="11"/>
        <color theme="1"/>
        <rFont val="Aptos Narrow"/>
        <family val="2"/>
        <scheme val="minor"/>
      </rPr>
      <t>Units</t>
    </r>
    <r>
      <rPr>
        <sz val="11"/>
        <color theme="1"/>
        <rFont val="Aptos Narrow"/>
        <family val="2"/>
        <scheme val="minor"/>
      </rPr>
      <t xml:space="preserve"> sold for </t>
    </r>
    <r>
      <rPr>
        <b/>
        <sz val="11"/>
        <color theme="1"/>
        <rFont val="Aptos Narrow"/>
        <family val="2"/>
        <scheme val="minor"/>
      </rPr>
      <t>Order ID = 10502</t>
    </r>
  </si>
  <si>
    <r>
      <t xml:space="preserve">Find </t>
    </r>
    <r>
      <rPr>
        <b/>
        <sz val="11"/>
        <color theme="1"/>
        <rFont val="Aptos Narrow"/>
        <family val="2"/>
        <scheme val="minor"/>
      </rPr>
      <t>Gender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Order ID = 10457</t>
    </r>
  </si>
  <si>
    <r>
      <t xml:space="preserve">Find </t>
    </r>
    <r>
      <rPr>
        <b/>
        <sz val="11"/>
        <color theme="1"/>
        <rFont val="Aptos Narrow"/>
        <family val="2"/>
        <scheme val="minor"/>
      </rPr>
      <t>Revenue</t>
    </r>
    <r>
      <rPr>
        <sz val="11"/>
        <color theme="1"/>
        <rFont val="Aptos Narrow"/>
        <family val="2"/>
        <scheme val="minor"/>
      </rPr>
      <t xml:space="preserve"> where:</t>
    </r>
  </si>
  <si>
    <r>
      <t xml:space="preserve">Name = </t>
    </r>
    <r>
      <rPr>
        <b/>
        <sz val="11"/>
        <color theme="1"/>
        <rFont val="Aptos Narrow"/>
        <family val="2"/>
        <scheme val="minor"/>
      </rPr>
      <t>Thomas Clark</t>
    </r>
  </si>
  <si>
    <r>
      <t xml:space="preserve">Due Date = </t>
    </r>
    <r>
      <rPr>
        <b/>
        <sz val="11"/>
        <color theme="1"/>
        <rFont val="Aptos Narrow"/>
        <family val="2"/>
        <scheme val="minor"/>
      </rPr>
      <t>2/20/2024</t>
    </r>
  </si>
  <si>
    <r>
      <t xml:space="preserve">Find </t>
    </r>
    <r>
      <rPr>
        <b/>
        <sz val="11"/>
        <color theme="1"/>
        <rFont val="Aptos Narrow"/>
        <family val="2"/>
        <scheme val="minor"/>
      </rPr>
      <t>Units</t>
    </r>
    <r>
      <rPr>
        <sz val="11"/>
        <color theme="1"/>
        <rFont val="Aptos Narrow"/>
        <family val="2"/>
        <scheme val="minor"/>
      </rPr>
      <t xml:space="preserve"> where:</t>
    </r>
  </si>
  <si>
    <r>
      <t xml:space="preserve">Country = </t>
    </r>
    <r>
      <rPr>
        <b/>
        <sz val="11"/>
        <color theme="1"/>
        <rFont val="Aptos Narrow"/>
        <family val="2"/>
        <scheme val="minor"/>
      </rPr>
      <t>FR</t>
    </r>
  </si>
  <si>
    <r>
      <t xml:space="preserve">Gender = </t>
    </r>
    <r>
      <rPr>
        <b/>
        <sz val="11"/>
        <color theme="1"/>
        <rFont val="Aptos Narrow"/>
        <family val="2"/>
        <scheme val="minor"/>
      </rPr>
      <t>Female</t>
    </r>
  </si>
  <si>
    <r>
      <t xml:space="preserve">Country = </t>
    </r>
    <r>
      <rPr>
        <b/>
        <sz val="11"/>
        <color theme="1"/>
        <rFont val="Aptos Narrow"/>
        <family val="2"/>
        <scheme val="minor"/>
      </rPr>
      <t>JP</t>
    </r>
  </si>
  <si>
    <r>
      <t xml:space="preserve">Units = </t>
    </r>
    <r>
      <rPr>
        <b/>
        <sz val="11"/>
        <color theme="1"/>
        <rFont val="Aptos Narrow"/>
        <family val="2"/>
        <scheme val="minor"/>
      </rPr>
      <t>87</t>
    </r>
  </si>
  <si>
    <t>INDEX returns a value from a table based on position (row &amp; column number).</t>
  </si>
  <si>
    <t>Go to this row and give me the value.”</t>
  </si>
  <si>
    <t>MATCH finds the position (row number) of a value in a list.</t>
  </si>
  <si>
    <t>“Where is this value located?”</t>
  </si>
  <si>
    <t>ID</t>
  </si>
  <si>
    <t>Department</t>
  </si>
  <si>
    <t>Salary</t>
  </si>
  <si>
    <r>
      <t xml:space="preserve">MATCH finds the </t>
    </r>
    <r>
      <rPr>
        <b/>
        <sz val="11"/>
        <color rgb="FF000000"/>
        <rFont val="Aptos Narrow"/>
        <family val="2"/>
      </rPr>
      <t>row number</t>
    </r>
    <r>
      <rPr>
        <sz val="11"/>
        <color rgb="FF000000"/>
        <rFont val="Aptos Narrow"/>
        <family val="2"/>
      </rPr>
      <t>,</t>
    </r>
  </si>
  <si>
    <t>Amit</t>
  </si>
  <si>
    <t>Sales</t>
  </si>
  <si>
    <r>
      <t xml:space="preserve">INDEX returns the </t>
    </r>
    <r>
      <rPr>
        <b/>
        <sz val="11"/>
        <color rgb="FF000000"/>
        <rFont val="Aptos Narrow"/>
        <family val="2"/>
      </rPr>
      <t>value from that row</t>
    </r>
    <r>
      <rPr>
        <sz val="11"/>
        <color rgb="FF000000"/>
        <rFont val="Aptos Narrow"/>
        <family val="2"/>
      </rPr>
      <t>.</t>
    </r>
  </si>
  <si>
    <t>Neha</t>
  </si>
  <si>
    <t>HR</t>
  </si>
  <si>
    <t>Rahul</t>
  </si>
  <si>
    <t>Finance</t>
  </si>
  <si>
    <t>=INDEX(Array,MATCH(Lookup_value,Lookup_array,match_type))</t>
  </si>
  <si>
    <r>
      <t xml:space="preserve">Find </t>
    </r>
    <r>
      <rPr>
        <b/>
        <sz val="11"/>
        <color rgb="FF000000"/>
        <rFont val="Aptos Narrow"/>
        <family val="2"/>
      </rPr>
      <t>Salary of Neha</t>
    </r>
  </si>
  <si>
    <t>Match</t>
  </si>
  <si>
    <t>XLOOKUP is mainly used for single-criteria lookups,</t>
  </si>
  <si>
    <t>Index</t>
  </si>
  <si>
    <t>while INDEX + MATCH is used for multi-criteria (multiple conditions) lookups.</t>
  </si>
  <si>
    <t>Emp_ID</t>
  </si>
  <si>
    <t>Dept</t>
  </si>
  <si>
    <t>Month</t>
  </si>
  <si>
    <t>XLOOKUP = Easy &amp; single condition</t>
  </si>
  <si>
    <t>Jan</t>
  </si>
  <si>
    <t>INDEX MATCH = Powerful &amp; multiple conditions</t>
  </si>
  <si>
    <t>Feb</t>
  </si>
  <si>
    <r>
      <t>Single condition</t>
    </r>
    <r>
      <rPr>
        <sz val="11"/>
        <color theme="1"/>
        <rFont val="Aptos Narrow"/>
        <family val="2"/>
        <scheme val="minor"/>
      </rPr>
      <t xml:space="preserve"> → normal INDEX MATCH</t>
    </r>
  </si>
  <si>
    <r>
      <t>Two conditions</t>
    </r>
    <r>
      <rPr>
        <sz val="11"/>
        <color theme="1"/>
        <rFont val="Aptos Narrow"/>
        <family val="2"/>
        <scheme val="minor"/>
      </rPr>
      <t xml:space="preserve"> → multiply conditions inside MATCH</t>
    </r>
  </si>
  <si>
    <r>
      <t xml:space="preserve">Find </t>
    </r>
    <r>
      <rPr>
        <b/>
        <sz val="11"/>
        <color rgb="FF000000"/>
        <rFont val="Aptos Narrow"/>
        <family val="2"/>
      </rPr>
      <t>Sales of Amit for Feb</t>
    </r>
  </si>
  <si>
    <r>
      <t>two conditions</t>
    </r>
    <r>
      <rPr>
        <sz val="11"/>
        <color rgb="FF000000"/>
        <rFont val="Aptos Narrow"/>
        <family val="2"/>
      </rPr>
      <t xml:space="preserve"> are involved (Name + Month)</t>
    </r>
  </si>
  <si>
    <t>order id</t>
  </si>
  <si>
    <t>HLOOKUP searches across the first row and returns data from another row.</t>
  </si>
  <si>
    <t>=HLOOKUP(lookup_value, table_array, row_index_num, [range_lookup])</t>
  </si>
  <si>
    <t>HLOOKUP</t>
  </si>
  <si>
    <t>VLOOKUP</t>
  </si>
  <si>
    <t>Horizontal search</t>
  </si>
  <si>
    <t>Vertical search</t>
  </si>
  <si>
    <t>VLOOKUP searches vertically in the first column and returns data from another column.</t>
  </si>
  <si>
    <t>Natalie Robinson</t>
  </si>
  <si>
    <t>=VLOOKUP(lookup_value, table_array, col_index_num, [range_lookup])</t>
  </si>
  <si>
    <r>
      <rPr>
        <b/>
        <sz val="11"/>
        <color theme="1"/>
        <rFont val="Aptos Narrow"/>
        <family val="2"/>
        <scheme val="minor"/>
      </rPr>
      <t>lookup_value</t>
    </r>
    <r>
      <rPr>
        <sz val="11"/>
        <color theme="1"/>
        <rFont val="Aptos Narrow"/>
        <family val="2"/>
        <scheme val="minor"/>
      </rPr>
      <t xml:space="preserve"> = Find this = The value you want to search for.</t>
    </r>
  </si>
  <si>
    <r>
      <rPr>
        <b/>
        <sz val="11"/>
        <color theme="1"/>
        <rFont val="Aptos Narrow"/>
        <family val="2"/>
        <scheme val="minor"/>
      </rPr>
      <t>table_array</t>
    </r>
    <r>
      <rPr>
        <sz val="11"/>
        <color theme="1"/>
        <rFont val="Aptos Narrow"/>
        <family val="2"/>
        <scheme val="minor"/>
      </rPr>
      <t xml:space="preserve"> = in this table = The full data range where Excel will search.</t>
    </r>
  </si>
  <si>
    <r>
      <rPr>
        <b/>
        <sz val="11"/>
        <color theme="1"/>
        <rFont val="Aptos Narrow"/>
        <family val="2"/>
        <scheme val="minor"/>
      </rPr>
      <t>col_index_num</t>
    </r>
    <r>
      <rPr>
        <sz val="11"/>
        <color theme="1"/>
        <rFont val="Aptos Narrow"/>
        <family val="2"/>
        <scheme val="minor"/>
      </rPr>
      <t xml:space="preserve"> = return from this column = The column number from which to return the result.</t>
    </r>
  </si>
  <si>
    <r>
      <rPr>
        <b/>
        <sz val="11"/>
        <color theme="1"/>
        <rFont val="Aptos Narrow"/>
        <family val="2"/>
        <scheme val="minor"/>
      </rPr>
      <t xml:space="preserve">(range_lookup)Match </t>
    </r>
    <r>
      <rPr>
        <sz val="11"/>
        <color theme="1"/>
        <rFont val="Aptos Narrow"/>
        <family val="2"/>
        <scheme val="minor"/>
      </rPr>
      <t>= using this match type = Tells Excel how to match the value</t>
    </r>
  </si>
  <si>
    <t>Value</t>
  </si>
  <si>
    <t>Meaning</t>
  </si>
  <si>
    <t>Exact match</t>
  </si>
  <si>
    <t>Approximate match</t>
  </si>
  <si>
    <t xml:space="preserve">       MATCH(1,</t>
  </si>
  <si>
    <t xml:space="preserve">            (Sales!C2:C31="Thomas Clark")*</t>
  </si>
  <si>
    <t xml:space="preserve">            (Sales!B2:B31=DATE(2024,2,20)),</t>
  </si>
  <si>
    <t xml:space="preserve">       0))</t>
  </si>
  <si>
    <t>Country = JP</t>
  </si>
  <si>
    <t>INDEX(Sales!H2:H31,</t>
  </si>
  <si>
    <t>name</t>
  </si>
  <si>
    <t>gender</t>
  </si>
  <si>
    <t>units</t>
  </si>
  <si>
    <t>Hemant Shinde</t>
  </si>
  <si>
    <t>upgRad</t>
  </si>
  <si>
    <t>upGrad</t>
  </si>
  <si>
    <t>Upgrad</t>
  </si>
  <si>
    <t xml:space="preserve">Name </t>
  </si>
  <si>
    <t>Using Xlookup</t>
  </si>
  <si>
    <t>Column1</t>
  </si>
  <si>
    <t>Using Index-Match</t>
  </si>
  <si>
    <t>FILTER(N5:N7, EXACT(N5:N7, "upGrad"))</t>
  </si>
  <si>
    <t>FILTER(N5:N7, ISNUMBER(FIND("G", N5:N7)))</t>
  </si>
  <si>
    <t>Filter Function</t>
  </si>
  <si>
    <t>FILTER(F2:F31,(C2:C31=J6)*(D2:D31=K6))</t>
  </si>
  <si>
    <t>Filter Only Words whose G is capital</t>
  </si>
  <si>
    <t>Using 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</si>
</sst>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/>
    <xf numFmtId="0" fontId="0" fillId="0" borderId="1" xfId="0" applyBorder="1"/>
    <xf numFmtId="0" fontId="2" fillId="0" borderId="0" xfId="0" applyFont="1" applyAlignment="1">
      <alignment horizontal="left" vertical="center" indent="1"/>
    </xf>
    <xf numFmtId="0" fontId="0" fillId="2" borderId="2" xfId="0" quotePrefix="1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3" borderId="0" xfId="0" quotePrefix="1" applyFont="1" applyFill="1"/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7" borderId="0" xfId="0" applyFont="1" applyFill="1"/>
    <xf numFmtId="0" fontId="1" fillId="0" borderId="6" xfId="0" applyFont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/>
    <xf numFmtId="0" fontId="5" fillId="0" borderId="0" xfId="0" applyFont="1"/>
  </cellXfs>
  <cellStyles count="1">
    <cellStyle name="Normal" xfId="0" builtinId="0"/>
  </cellStyles>
  <dxfs count="55"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E432F-85E9-4D18-B557-092268DAF60E}" name="Table1" displayName="Table1" ref="A1:I1048576" totalsRowShown="0">
  <tableColumns count="9">
    <tableColumn id="1" xr3:uid="{8F17239A-782B-4077-804D-AC6545ED8AA2}" name="Order ID"/>
    <tableColumn id="2" xr3:uid="{ECD865E3-DC85-4663-851A-F0B2BD2DDE18}" name="Due Date" dataDxfId="54"/>
    <tableColumn id="3" xr3:uid="{34723F1D-002E-454F-BFC9-69049A3ABC72}" name="Name"/>
    <tableColumn id="4" xr3:uid="{546C4BB9-B60F-4343-BAE2-A949672FC724}" name="Gender"/>
    <tableColumn id="5" xr3:uid="{3E5AE2A2-726D-4BC9-970B-665618FE47C6}" name="Country"/>
    <tableColumn id="6" xr3:uid="{2AFAB197-BF89-41F2-8469-1BFBA404054F}" name="Units"/>
    <tableColumn id="7" xr3:uid="{C02BB5EF-D4D4-4778-89CC-7579419134C7}" name="Country_Units"/>
    <tableColumn id="8" xr3:uid="{013D98DE-A488-4912-B29E-24B732AF7551}" name="Revenue"/>
    <tableColumn id="9" xr3:uid="{2B2C90E9-A04C-43E1-A0D7-FB0983A9929E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77EB-578C-4E5D-B71F-726DFAABEFFB}">
  <dimension ref="A1:S32"/>
  <sheetViews>
    <sheetView tabSelected="1" topLeftCell="C16" workbookViewId="0">
      <selection activeCell="K18" sqref="K18:N20"/>
    </sheetView>
  </sheetViews>
  <sheetFormatPr defaultRowHeight="14.5" x14ac:dyDescent="0.35"/>
  <cols>
    <col min="1" max="1" width="10.54296875" customWidth="1"/>
    <col min="2" max="2" width="11.26953125" style="38" bestFit="1" customWidth="1"/>
    <col min="3" max="3" width="18.54296875" bestFit="1" customWidth="1"/>
    <col min="4" max="4" width="9.54296875" customWidth="1"/>
    <col min="5" max="5" width="10.08984375" customWidth="1"/>
    <col min="6" max="6" width="7.6328125" customWidth="1"/>
    <col min="7" max="7" width="16" customWidth="1"/>
    <col min="8" max="8" width="10.7265625" customWidth="1"/>
    <col min="9" max="9" width="15.81640625" bestFit="1" customWidth="1"/>
    <col min="10" max="10" width="16.81640625" customWidth="1"/>
    <col min="11" max="11" width="12" bestFit="1" customWidth="1"/>
    <col min="12" max="12" width="8" customWidth="1"/>
    <col min="13" max="13" width="17.26953125" bestFit="1" customWidth="1"/>
  </cols>
  <sheetData>
    <row r="1" spans="1:19" x14ac:dyDescent="0.35">
      <c r="A1" t="s">
        <v>0</v>
      </c>
      <c r="B1" s="38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148</v>
      </c>
    </row>
    <row r="2" spans="1:19" ht="15.5" x14ac:dyDescent="0.35">
      <c r="A2">
        <v>10507</v>
      </c>
      <c r="B2" s="38" t="s">
        <v>8</v>
      </c>
      <c r="C2" t="s">
        <v>9</v>
      </c>
      <c r="D2" t="s">
        <v>10</v>
      </c>
      <c r="E2" t="s">
        <v>11</v>
      </c>
      <c r="F2">
        <v>91</v>
      </c>
      <c r="G2" t="str">
        <f>_xlfn.CONCAT(E2,F2)</f>
        <v>FR91</v>
      </c>
      <c r="H2">
        <v>36400</v>
      </c>
      <c r="K2" s="1"/>
    </row>
    <row r="3" spans="1:19" ht="15.5" x14ac:dyDescent="0.35">
      <c r="A3">
        <v>10534</v>
      </c>
      <c r="B3" s="38" t="s">
        <v>12</v>
      </c>
      <c r="C3" t="s">
        <v>13</v>
      </c>
      <c r="D3" t="s">
        <v>10</v>
      </c>
      <c r="E3" t="s">
        <v>14</v>
      </c>
      <c r="F3">
        <v>84</v>
      </c>
      <c r="G3" t="str">
        <f t="shared" ref="G3:G31" si="0">_xlfn.CONCAT(E3,F3)</f>
        <v>IT84</v>
      </c>
      <c r="H3">
        <v>33440</v>
      </c>
      <c r="K3" s="1"/>
    </row>
    <row r="4" spans="1:19" ht="16" x14ac:dyDescent="0.4">
      <c r="A4">
        <v>10537</v>
      </c>
      <c r="B4" s="38" t="s">
        <v>15</v>
      </c>
      <c r="C4" t="s">
        <v>16</v>
      </c>
      <c r="D4" t="s">
        <v>10</v>
      </c>
      <c r="E4" t="s">
        <v>11</v>
      </c>
      <c r="F4">
        <v>84</v>
      </c>
      <c r="G4" t="str">
        <f t="shared" si="0"/>
        <v>FR84</v>
      </c>
      <c r="H4">
        <v>26752</v>
      </c>
      <c r="J4" s="35" t="s">
        <v>152</v>
      </c>
      <c r="K4" s="1"/>
      <c r="N4" s="44" t="s">
        <v>154</v>
      </c>
      <c r="O4" s="44"/>
      <c r="P4" s="44"/>
      <c r="Q4" s="44"/>
    </row>
    <row r="5" spans="1:19" x14ac:dyDescent="0.35">
      <c r="A5">
        <v>10538</v>
      </c>
      <c r="B5" s="38" t="s">
        <v>15</v>
      </c>
      <c r="C5" t="s">
        <v>142</v>
      </c>
      <c r="D5" t="s">
        <v>10</v>
      </c>
      <c r="E5" t="s">
        <v>11</v>
      </c>
      <c r="F5">
        <v>84</v>
      </c>
      <c r="G5" t="str">
        <f t="shared" si="0"/>
        <v>FR84</v>
      </c>
      <c r="H5">
        <v>26752</v>
      </c>
      <c r="J5" s="37" t="s">
        <v>139</v>
      </c>
      <c r="K5" s="37" t="s">
        <v>140</v>
      </c>
      <c r="L5" s="37" t="s">
        <v>141</v>
      </c>
      <c r="N5" s="8" t="s">
        <v>143</v>
      </c>
      <c r="O5" s="25" t="str" cm="1">
        <f t="array" ref="O5">_xlfn._xlws.FILTER(N5:N7, EXACT(N5:N7, "upGrad"))</f>
        <v>upGrad</v>
      </c>
      <c r="P5" s="25" t="str" cm="1">
        <f t="array" ref="P5">_xlfn._xlws.FILTER(N5:N7, ISNUMBER(FIND("G", N5:N7)))</f>
        <v>upGrad</v>
      </c>
    </row>
    <row r="6" spans="1:19" ht="15.5" x14ac:dyDescent="0.35">
      <c r="A6">
        <v>10542</v>
      </c>
      <c r="B6" s="38" t="s">
        <v>15</v>
      </c>
      <c r="C6" t="s">
        <v>17</v>
      </c>
      <c r="D6" t="s">
        <v>10</v>
      </c>
      <c r="E6" t="s">
        <v>14</v>
      </c>
      <c r="F6">
        <v>84</v>
      </c>
      <c r="G6" t="str">
        <f t="shared" si="0"/>
        <v>IT84</v>
      </c>
      <c r="H6">
        <v>33440</v>
      </c>
      <c r="J6" t="s">
        <v>53</v>
      </c>
      <c r="K6" s="36" t="s">
        <v>19</v>
      </c>
      <c r="L6" cm="1">
        <f t="array" ref="L6:L7">_xlfn._xlws.FILTER(F2:F31,(C2:C31=J6)*(D2:D31=K6))</f>
        <v>75</v>
      </c>
      <c r="N6" s="8" t="s">
        <v>144</v>
      </c>
      <c r="O6" s="46" t="s">
        <v>150</v>
      </c>
      <c r="P6" s="47"/>
      <c r="Q6" s="47"/>
      <c r="R6" s="47"/>
      <c r="S6" s="47"/>
    </row>
    <row r="7" spans="1:19" x14ac:dyDescent="0.35">
      <c r="A7">
        <v>105406</v>
      </c>
      <c r="B7" s="38">
        <v>45415</v>
      </c>
      <c r="C7" t="s">
        <v>18</v>
      </c>
      <c r="D7" t="s">
        <v>19</v>
      </c>
      <c r="E7" t="s">
        <v>20</v>
      </c>
      <c r="F7">
        <v>84</v>
      </c>
      <c r="G7" t="str">
        <f t="shared" si="0"/>
        <v>UK84</v>
      </c>
      <c r="H7">
        <v>20900</v>
      </c>
      <c r="L7">
        <v>87</v>
      </c>
      <c r="N7" s="8" t="s">
        <v>145</v>
      </c>
      <c r="O7" s="46" t="s">
        <v>151</v>
      </c>
      <c r="P7" s="47"/>
      <c r="Q7" s="47"/>
      <c r="R7" s="47"/>
      <c r="S7" s="47"/>
    </row>
    <row r="8" spans="1:19" ht="15.5" x14ac:dyDescent="0.35">
      <c r="A8">
        <v>10485</v>
      </c>
      <c r="B8" s="38">
        <v>45415</v>
      </c>
      <c r="C8" t="s">
        <v>21</v>
      </c>
      <c r="D8" t="s">
        <v>10</v>
      </c>
      <c r="E8" t="s">
        <v>22</v>
      </c>
      <c r="F8">
        <v>82</v>
      </c>
      <c r="G8" t="str">
        <f t="shared" si="0"/>
        <v>JP82</v>
      </c>
      <c r="H8">
        <v>26240</v>
      </c>
      <c r="J8" s="45" t="s">
        <v>153</v>
      </c>
      <c r="K8" s="45"/>
      <c r="L8" s="45"/>
      <c r="M8" s="1"/>
    </row>
    <row r="9" spans="1:19" ht="15.5" x14ac:dyDescent="0.35">
      <c r="A9">
        <v>10453</v>
      </c>
      <c r="B9" s="38">
        <v>45415</v>
      </c>
      <c r="C9" t="s">
        <v>23</v>
      </c>
      <c r="D9" t="s">
        <v>19</v>
      </c>
      <c r="E9" t="s">
        <v>24</v>
      </c>
      <c r="F9">
        <v>80</v>
      </c>
      <c r="G9" t="str">
        <f t="shared" si="0"/>
        <v>ES80</v>
      </c>
      <c r="H9">
        <v>20000</v>
      </c>
      <c r="M9" s="1"/>
    </row>
    <row r="10" spans="1:19" x14ac:dyDescent="0.35">
      <c r="A10">
        <v>10477</v>
      </c>
      <c r="B10" s="38">
        <v>45415</v>
      </c>
      <c r="C10" t="s">
        <v>25</v>
      </c>
      <c r="D10" t="s">
        <v>19</v>
      </c>
      <c r="E10" t="s">
        <v>11</v>
      </c>
      <c r="F10">
        <v>80</v>
      </c>
      <c r="G10" t="str">
        <f t="shared" si="0"/>
        <v>FR80</v>
      </c>
      <c r="H10">
        <v>12000</v>
      </c>
    </row>
    <row r="11" spans="1:19" x14ac:dyDescent="0.35">
      <c r="A11">
        <v>10486</v>
      </c>
      <c r="B11" s="38">
        <v>45357</v>
      </c>
      <c r="C11" t="s">
        <v>26</v>
      </c>
      <c r="D11" t="s">
        <v>19</v>
      </c>
      <c r="E11" t="s">
        <v>27</v>
      </c>
      <c r="F11">
        <v>80</v>
      </c>
      <c r="G11" t="str">
        <f t="shared" si="0"/>
        <v>US80</v>
      </c>
      <c r="H11">
        <v>12000</v>
      </c>
    </row>
    <row r="12" spans="1:19" x14ac:dyDescent="0.35">
      <c r="A12">
        <v>10490</v>
      </c>
      <c r="B12" s="38" t="s">
        <v>15</v>
      </c>
      <c r="C12" t="s">
        <v>28</v>
      </c>
      <c r="D12" t="s">
        <v>19</v>
      </c>
      <c r="E12" t="s">
        <v>22</v>
      </c>
      <c r="F12">
        <v>80</v>
      </c>
      <c r="G12" t="str">
        <f t="shared" si="0"/>
        <v>JP80</v>
      </c>
      <c r="H12">
        <v>12000</v>
      </c>
      <c r="J12" s="32" t="s">
        <v>149</v>
      </c>
      <c r="K12" s="33" t="s">
        <v>146</v>
      </c>
      <c r="L12" s="33" t="s">
        <v>5</v>
      </c>
      <c r="M12" s="33" t="s">
        <v>6</v>
      </c>
      <c r="N12" s="33" t="s">
        <v>7</v>
      </c>
    </row>
    <row r="13" spans="1:19" x14ac:dyDescent="0.35">
      <c r="A13">
        <v>10502</v>
      </c>
      <c r="B13" s="38" t="s">
        <v>29</v>
      </c>
      <c r="C13" t="s">
        <v>30</v>
      </c>
      <c r="D13" t="s">
        <v>19</v>
      </c>
      <c r="E13" t="s">
        <v>24</v>
      </c>
      <c r="F13">
        <v>80</v>
      </c>
      <c r="G13" t="str">
        <f t="shared" si="0"/>
        <v>ES80</v>
      </c>
      <c r="H13">
        <v>25600</v>
      </c>
      <c r="K13" s="3" t="s">
        <v>21</v>
      </c>
      <c r="L13" s="3">
        <f>INDEX($F$2:$H$31,MATCH(K13,$C$2:$C$31,0),MATCH(L$12,$F$1:$H$1,0))</f>
        <v>82</v>
      </c>
      <c r="M13" s="3" t="str">
        <f t="shared" ref="M13:N16" si="1">INDEX($F$2:$H$31,MATCH($K13,$C$2:$C$31,0),MATCH(M$12,$F$1:$H$1,0))</f>
        <v>JP82</v>
      </c>
      <c r="N13" s="3">
        <f t="shared" si="1"/>
        <v>26240</v>
      </c>
    </row>
    <row r="14" spans="1:19" x14ac:dyDescent="0.35">
      <c r="A14">
        <v>10523</v>
      </c>
      <c r="B14" s="38">
        <v>45634</v>
      </c>
      <c r="C14" t="s">
        <v>31</v>
      </c>
      <c r="D14" t="s">
        <v>10</v>
      </c>
      <c r="E14" t="s">
        <v>22</v>
      </c>
      <c r="F14">
        <v>80</v>
      </c>
      <c r="G14" t="str">
        <f t="shared" si="0"/>
        <v>JP80</v>
      </c>
      <c r="H14">
        <v>32000</v>
      </c>
      <c r="K14" s="3" t="s">
        <v>23</v>
      </c>
      <c r="L14" s="3">
        <f>INDEX($F$2:$H$31,MATCH(K14,$C$2:$C$31,0),MATCH(L$12,$F$1:$H$1,0))</f>
        <v>80</v>
      </c>
      <c r="M14" s="3" t="str">
        <f t="shared" si="1"/>
        <v>ES80</v>
      </c>
      <c r="N14" s="3">
        <f t="shared" si="1"/>
        <v>20000</v>
      </c>
    </row>
    <row r="15" spans="1:19" x14ac:dyDescent="0.35">
      <c r="A15">
        <v>10525</v>
      </c>
      <c r="B15" s="38">
        <v>45576</v>
      </c>
      <c r="C15" t="s">
        <v>32</v>
      </c>
      <c r="D15" t="s">
        <v>10</v>
      </c>
      <c r="E15" t="s">
        <v>24</v>
      </c>
      <c r="F15">
        <v>80</v>
      </c>
      <c r="G15" t="str">
        <f t="shared" si="0"/>
        <v>ES80</v>
      </c>
      <c r="H15">
        <v>25536</v>
      </c>
      <c r="K15" s="3" t="s">
        <v>53</v>
      </c>
      <c r="L15" s="3">
        <f>INDEX($F$2:$H$31,MATCH(K15,$C$2:$C$31,0),MATCH(L$12,$F$1:$H$1,0))</f>
        <v>75</v>
      </c>
      <c r="M15" s="3" t="str">
        <f t="shared" si="1"/>
        <v>JP75</v>
      </c>
      <c r="N15" s="3">
        <f t="shared" si="1"/>
        <v>18750</v>
      </c>
    </row>
    <row r="16" spans="1:19" x14ac:dyDescent="0.35">
      <c r="A16">
        <v>10535</v>
      </c>
      <c r="B16" s="38">
        <v>45871</v>
      </c>
      <c r="C16" t="s">
        <v>33</v>
      </c>
      <c r="D16" t="s">
        <v>10</v>
      </c>
      <c r="E16" t="s">
        <v>14</v>
      </c>
      <c r="F16">
        <v>80</v>
      </c>
      <c r="G16" t="str">
        <f t="shared" si="0"/>
        <v>IT80</v>
      </c>
      <c r="H16">
        <v>31840</v>
      </c>
      <c r="K16" s="3" t="s">
        <v>53</v>
      </c>
      <c r="L16" s="3">
        <f>INDEX($F$2:$H$31,MATCH(K16,$C$2:$C$31,0),MATCH(L$12,$F$1:$H$1,0))</f>
        <v>75</v>
      </c>
      <c r="M16" s="3" t="str">
        <f t="shared" si="1"/>
        <v>JP75</v>
      </c>
      <c r="N16" s="3">
        <f t="shared" si="1"/>
        <v>18750</v>
      </c>
    </row>
    <row r="17" spans="1:14" x14ac:dyDescent="0.35">
      <c r="A17">
        <v>10461</v>
      </c>
      <c r="B17" s="38">
        <v>45905</v>
      </c>
      <c r="C17" t="s">
        <v>34</v>
      </c>
      <c r="D17" t="s">
        <v>19</v>
      </c>
      <c r="E17" t="s">
        <v>22</v>
      </c>
      <c r="F17">
        <v>76</v>
      </c>
      <c r="G17" t="str">
        <f t="shared" si="0"/>
        <v>JP76</v>
      </c>
      <c r="H17">
        <v>30400</v>
      </c>
    </row>
    <row r="18" spans="1:14" x14ac:dyDescent="0.35">
      <c r="A18">
        <v>10506</v>
      </c>
      <c r="B18" s="38">
        <v>45846</v>
      </c>
      <c r="C18" t="s">
        <v>35</v>
      </c>
      <c r="D18" t="s">
        <v>10</v>
      </c>
      <c r="E18" t="s">
        <v>11</v>
      </c>
      <c r="F18">
        <v>76</v>
      </c>
      <c r="G18" t="str">
        <f t="shared" si="0"/>
        <v>FR76</v>
      </c>
      <c r="H18">
        <v>11400</v>
      </c>
      <c r="J18" s="32" t="s">
        <v>147</v>
      </c>
      <c r="K18" s="34" t="s">
        <v>146</v>
      </c>
      <c r="L18" s="34" t="s">
        <v>5</v>
      </c>
      <c r="M18" s="34" t="s">
        <v>6</v>
      </c>
      <c r="N18" s="34" t="s">
        <v>7</v>
      </c>
    </row>
    <row r="19" spans="1:14" x14ac:dyDescent="0.35">
      <c r="A19">
        <v>10531</v>
      </c>
      <c r="B19" s="38" t="s">
        <v>36</v>
      </c>
      <c r="C19" t="s">
        <v>37</v>
      </c>
      <c r="D19" t="s">
        <v>10</v>
      </c>
      <c r="E19" t="s">
        <v>14</v>
      </c>
      <c r="F19">
        <v>76</v>
      </c>
      <c r="G19" t="str">
        <f t="shared" si="0"/>
        <v>IT76</v>
      </c>
      <c r="H19">
        <v>30400</v>
      </c>
      <c r="K19" s="31" t="str">
        <f>K13</f>
        <v>Kelly Jones</v>
      </c>
      <c r="L19" s="31" cm="1">
        <f t="array" ref="L19:N19">_xlfn.XLOOKUP($K19,$C$2:$C$31,$F$2:$H$31,"not found",0,1)</f>
        <v>82</v>
      </c>
      <c r="M19" s="31" t="str">
        <v>JP82</v>
      </c>
      <c r="N19" s="31">
        <v>26240</v>
      </c>
    </row>
    <row r="20" spans="1:14" x14ac:dyDescent="0.35">
      <c r="A20">
        <v>10536</v>
      </c>
      <c r="B20" s="38" t="s">
        <v>38</v>
      </c>
      <c r="C20" t="s">
        <v>39</v>
      </c>
      <c r="D20" t="s">
        <v>10</v>
      </c>
      <c r="E20" t="s">
        <v>11</v>
      </c>
      <c r="F20">
        <v>76</v>
      </c>
      <c r="G20" t="str">
        <f t="shared" si="0"/>
        <v>FR76</v>
      </c>
      <c r="H20">
        <v>11400</v>
      </c>
      <c r="K20" s="31" t="str">
        <f t="shared" ref="K20:K22" si="2">K14</f>
        <v>Kennedi Singh</v>
      </c>
      <c r="L20" s="31" cm="1">
        <f t="array" ref="L20:N20">_xlfn.XLOOKUP($K20,$C$2:$C$31,$F$2:$H$31,"not found",0,1)</f>
        <v>80</v>
      </c>
      <c r="M20" s="31" t="str">
        <v>ES80</v>
      </c>
      <c r="N20" s="31">
        <v>20000</v>
      </c>
    </row>
    <row r="21" spans="1:14" x14ac:dyDescent="0.35">
      <c r="A21">
        <v>10541</v>
      </c>
      <c r="B21" s="38">
        <v>45420</v>
      </c>
      <c r="C21" t="s">
        <v>40</v>
      </c>
      <c r="D21" t="s">
        <v>10</v>
      </c>
      <c r="E21" t="s">
        <v>14</v>
      </c>
      <c r="F21">
        <v>76</v>
      </c>
      <c r="G21" t="str">
        <f t="shared" si="0"/>
        <v>IT76</v>
      </c>
      <c r="H21">
        <v>24320</v>
      </c>
      <c r="K21" s="31" t="str">
        <f t="shared" si="2"/>
        <v>Thomas Clark</v>
      </c>
      <c r="L21" s="31" cm="1">
        <f t="array" ref="L21:N21">_xlfn.XLOOKUP($K21,$C$2:$C$31,$F$2:$H$31,"not found",0,1)</f>
        <v>75</v>
      </c>
      <c r="M21" s="31" t="str">
        <v>JP75</v>
      </c>
      <c r="N21" s="31">
        <v>18750</v>
      </c>
    </row>
    <row r="22" spans="1:14" x14ac:dyDescent="0.35">
      <c r="A22">
        <v>10546</v>
      </c>
      <c r="B22" s="38" t="s">
        <v>41</v>
      </c>
      <c r="C22" t="s">
        <v>42</v>
      </c>
      <c r="D22" t="s">
        <v>19</v>
      </c>
      <c r="E22" t="s">
        <v>22</v>
      </c>
      <c r="F22">
        <v>76</v>
      </c>
      <c r="G22" t="str">
        <f t="shared" si="0"/>
        <v>JP76</v>
      </c>
      <c r="H22">
        <v>24320</v>
      </c>
      <c r="K22" s="31" t="str">
        <f t="shared" si="2"/>
        <v>Thomas Clark</v>
      </c>
      <c r="L22" s="31" cm="1">
        <f t="array" ref="L22:N22">_xlfn.XLOOKUP($K22,$C$2:$C$31,$F$2:$H$31,"not found",0,1)</f>
        <v>75</v>
      </c>
      <c r="M22" s="31" t="str">
        <v>JP75</v>
      </c>
      <c r="N22" s="31">
        <v>18750</v>
      </c>
    </row>
    <row r="23" spans="1:14" x14ac:dyDescent="0.35">
      <c r="A23">
        <v>10501</v>
      </c>
      <c r="B23" s="38" t="s">
        <v>43</v>
      </c>
      <c r="C23" t="s">
        <v>44</v>
      </c>
      <c r="D23" t="s">
        <v>19</v>
      </c>
      <c r="E23" t="s">
        <v>24</v>
      </c>
      <c r="F23">
        <v>76</v>
      </c>
      <c r="G23" t="str">
        <f t="shared" si="0"/>
        <v>ES76</v>
      </c>
      <c r="H23">
        <v>24320</v>
      </c>
      <c r="K23" s="3" t="s">
        <v>49</v>
      </c>
      <c r="L23" s="31" cm="1">
        <f t="array" ref="L23:N23">_xlfn.XLOOKUP($K23,$C$2:$C$31,$F$2:$H$31,"not found",0,1)</f>
        <v>75</v>
      </c>
      <c r="M23" s="3" t="str">
        <v>FR75</v>
      </c>
      <c r="N23" s="3">
        <v>11250</v>
      </c>
    </row>
    <row r="24" spans="1:14" x14ac:dyDescent="0.35">
      <c r="A24">
        <v>10456</v>
      </c>
      <c r="B24" s="38">
        <v>45449</v>
      </c>
      <c r="C24" t="s">
        <v>45</v>
      </c>
      <c r="D24" t="s">
        <v>19</v>
      </c>
      <c r="E24" t="s">
        <v>27</v>
      </c>
      <c r="F24">
        <v>75</v>
      </c>
      <c r="G24" t="str">
        <f t="shared" si="0"/>
        <v>US75</v>
      </c>
      <c r="H24">
        <v>24000</v>
      </c>
    </row>
    <row r="25" spans="1:14" x14ac:dyDescent="0.35">
      <c r="A25">
        <v>10457</v>
      </c>
      <c r="B25" s="38" t="s">
        <v>46</v>
      </c>
      <c r="C25" t="s">
        <v>47</v>
      </c>
      <c r="D25" t="s">
        <v>19</v>
      </c>
      <c r="E25" t="s">
        <v>27</v>
      </c>
      <c r="F25">
        <v>75</v>
      </c>
      <c r="G25" t="str">
        <f t="shared" si="0"/>
        <v>US75</v>
      </c>
      <c r="H25">
        <v>30000</v>
      </c>
    </row>
    <row r="26" spans="1:14" x14ac:dyDescent="0.35">
      <c r="A26">
        <v>10463</v>
      </c>
      <c r="B26" s="38" t="s">
        <v>36</v>
      </c>
      <c r="C26" t="s">
        <v>48</v>
      </c>
      <c r="D26" t="s">
        <v>10</v>
      </c>
      <c r="E26" t="s">
        <v>22</v>
      </c>
      <c r="F26">
        <v>75</v>
      </c>
      <c r="G26" t="str">
        <f t="shared" si="0"/>
        <v>JP75</v>
      </c>
      <c r="H26">
        <v>11250</v>
      </c>
      <c r="J26" s="32" t="s">
        <v>155</v>
      </c>
      <c r="K26" s="34" t="s">
        <v>146</v>
      </c>
      <c r="L26" s="34" t="s">
        <v>5</v>
      </c>
      <c r="M26" s="34" t="s">
        <v>6</v>
      </c>
      <c r="N26" s="34" t="s">
        <v>7</v>
      </c>
    </row>
    <row r="27" spans="1:14" x14ac:dyDescent="0.35">
      <c r="A27">
        <v>10468</v>
      </c>
      <c r="B27" s="38" t="s">
        <v>38</v>
      </c>
      <c r="C27" t="s">
        <v>49</v>
      </c>
      <c r="D27" t="s">
        <v>10</v>
      </c>
      <c r="E27" t="s">
        <v>11</v>
      </c>
      <c r="F27">
        <v>75</v>
      </c>
      <c r="G27" t="str">
        <f t="shared" si="0"/>
        <v>FR75</v>
      </c>
      <c r="H27">
        <v>11250</v>
      </c>
      <c r="K27" s="31" t="s">
        <v>21</v>
      </c>
      <c r="L27" s="39">
        <f>DGET($K$18:$N$23,L$26,K26:K27)</f>
        <v>82</v>
      </c>
      <c r="M27" s="40" t="str">
        <f t="shared" ref="M27:N27" si="3">DGET($K$18:$N$23,M$26,L26:L27)</f>
        <v>JP82</v>
      </c>
      <c r="N27" s="40">
        <f t="shared" si="3"/>
        <v>26240</v>
      </c>
    </row>
    <row r="28" spans="1:14" x14ac:dyDescent="0.35">
      <c r="A28">
        <v>10470</v>
      </c>
      <c r="B28" s="38" t="s">
        <v>50</v>
      </c>
      <c r="C28" t="s">
        <v>51</v>
      </c>
      <c r="D28" t="s">
        <v>19</v>
      </c>
      <c r="E28" t="s">
        <v>11</v>
      </c>
      <c r="F28">
        <v>75</v>
      </c>
      <c r="G28" t="str">
        <f t="shared" si="0"/>
        <v>FR75</v>
      </c>
      <c r="H28">
        <v>18750</v>
      </c>
    </row>
    <row r="29" spans="1:14" x14ac:dyDescent="0.35">
      <c r="A29">
        <v>10473</v>
      </c>
      <c r="B29" s="38" t="s">
        <v>15</v>
      </c>
      <c r="C29" t="s">
        <v>52</v>
      </c>
      <c r="D29" t="s">
        <v>19</v>
      </c>
      <c r="E29" t="s">
        <v>27</v>
      </c>
      <c r="F29">
        <v>75</v>
      </c>
      <c r="G29" t="str">
        <f t="shared" si="0"/>
        <v>US75</v>
      </c>
      <c r="H29">
        <v>18750</v>
      </c>
    </row>
    <row r="30" spans="1:14" x14ac:dyDescent="0.35">
      <c r="A30">
        <v>10478</v>
      </c>
      <c r="B30" s="38" t="s">
        <v>50</v>
      </c>
      <c r="C30" t="s">
        <v>53</v>
      </c>
      <c r="D30" t="s">
        <v>19</v>
      </c>
      <c r="E30" t="s">
        <v>22</v>
      </c>
      <c r="F30">
        <v>75</v>
      </c>
      <c r="G30" t="str">
        <f t="shared" si="0"/>
        <v>JP75</v>
      </c>
      <c r="H30">
        <v>18750</v>
      </c>
    </row>
    <row r="31" spans="1:14" x14ac:dyDescent="0.35">
      <c r="A31">
        <v>10478</v>
      </c>
      <c r="B31" s="38">
        <v>45342</v>
      </c>
      <c r="C31" t="s">
        <v>53</v>
      </c>
      <c r="D31" t="s">
        <v>19</v>
      </c>
      <c r="E31" t="s">
        <v>22</v>
      </c>
      <c r="F31">
        <v>87</v>
      </c>
      <c r="G31" t="str">
        <f t="shared" si="0"/>
        <v>JP87</v>
      </c>
      <c r="H31">
        <v>18750</v>
      </c>
    </row>
    <row r="32" spans="1:14" x14ac:dyDescent="0.35">
      <c r="C32" t="s">
        <v>53</v>
      </c>
      <c r="D32" t="s">
        <v>19</v>
      </c>
      <c r="F32">
        <v>99</v>
      </c>
      <c r="J32" cm="1">
        <f t="array" ref="J32">INDEX(_xlfn._xlws.FILTER(F2:F31,(C2:C31="Thomas Clark"),(D2:D31="Male")),1)</f>
        <v>75</v>
      </c>
    </row>
  </sheetData>
  <mergeCells count="4">
    <mergeCell ref="N4:Q4"/>
    <mergeCell ref="J8:L8"/>
    <mergeCell ref="O6:S6"/>
    <mergeCell ref="O7:S7"/>
  </mergeCells>
  <conditionalFormatting sqref="K2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{8CF7A2CA-B2C0-4094-A48C-17941A9A9F6B}</x14:id>
        </ext>
      </extLst>
    </cfRule>
  </conditionalFormatting>
  <conditionalFormatting sqref="K2:K4">
    <cfRule type="expression" dxfId="53" priority="23">
      <formula>$E2=#REF!</formula>
    </cfRule>
    <cfRule type="expression" dxfId="52" priority="24">
      <formula>$E2=#REF!</formula>
    </cfRule>
    <cfRule type="expression" dxfId="51" priority="25">
      <formula>$E2=#REF!</formula>
    </cfRule>
    <cfRule type="expression" dxfId="50" priority="26">
      <formula>$F2=#REF!</formula>
    </cfRule>
    <cfRule type="expression" dxfId="49" priority="27">
      <formula>$E2=#REF!</formula>
    </cfRule>
    <cfRule type="expression" dxfId="48" priority="28">
      <formula>$E2=#REF!</formula>
    </cfRule>
  </conditionalFormatting>
  <conditionalFormatting sqref="K3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{BDA6982F-64AB-4E35-B028-6AF299AECF50}</x14:id>
        </ext>
      </extLst>
    </cfRule>
  </conditionalFormatting>
  <conditionalFormatting sqref="K4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{BD4B5EBD-1BCC-4A9F-B1C1-4C76EF5884F1}</x14:id>
        </ext>
      </extLst>
    </cfRule>
  </conditionalFormatting>
  <conditionalFormatting sqref="K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{B39C479C-353C-4A82-8CDC-DA40BEE2F627}</x14:id>
        </ext>
      </extLst>
    </cfRule>
    <cfRule type="expression" dxfId="47" priority="2">
      <formula>$E6=#REF!</formula>
    </cfRule>
    <cfRule type="expression" dxfId="46" priority="3">
      <formula>$E6=#REF!</formula>
    </cfRule>
    <cfRule type="expression" dxfId="45" priority="4">
      <formula>$E6=#REF!</formula>
    </cfRule>
    <cfRule type="expression" dxfId="44" priority="5">
      <formula>$F6=#REF!</formula>
    </cfRule>
    <cfRule type="expression" dxfId="43" priority="6">
      <formula>$E6=#REF!</formula>
    </cfRule>
    <cfRule type="expression" dxfId="42" priority="7">
      <formula>$E6=#REF!</formula>
    </cfRule>
  </conditionalFormatting>
  <conditionalFormatting sqref="M8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{3F5B1723-ED6D-4DD4-A1CD-83A171C0A5ED}</x14:id>
        </ext>
      </extLst>
    </cfRule>
  </conditionalFormatting>
  <conditionalFormatting sqref="M8:M9">
    <cfRule type="expression" dxfId="41" priority="44">
      <formula>$E8=#REF!</formula>
    </cfRule>
    <cfRule type="expression" dxfId="40" priority="45">
      <formula>$E8=#REF!</formula>
    </cfRule>
    <cfRule type="expression" dxfId="39" priority="46">
      <formula>$E8=#REF!</formula>
    </cfRule>
    <cfRule type="expression" dxfId="38" priority="47">
      <formula>$F8=#REF!</formula>
    </cfRule>
    <cfRule type="expression" dxfId="37" priority="48">
      <formula>$E8=#REF!</formula>
    </cfRule>
    <cfRule type="expression" dxfId="36" priority="49">
      <formula>$E8=#REF!</formula>
    </cfRule>
  </conditionalFormatting>
  <conditionalFormatting sqref="M9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{F1C46FFA-A3E7-4BE0-86A3-0D7A59C07B5A}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F7A2CA-B2C0-4094-A48C-17941A9A9F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BDA6982F-64AB-4E35-B028-6AF299AEC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BD4B5EBD-1BCC-4A9F-B1C1-4C76EF5884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B39C479C-353C-4A82-8CDC-DA40BEE2F6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3F5B1723-ED6D-4DD4-A1CD-83A171C0A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1C46FFA-A3E7-4BE0-86A3-0D7A59C07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FB8B-B963-4510-81D9-6273C3395468}">
  <dimension ref="A1:M27"/>
  <sheetViews>
    <sheetView workbookViewId="0">
      <selection activeCell="L6" sqref="L6"/>
    </sheetView>
  </sheetViews>
  <sheetFormatPr defaultRowHeight="14.5" x14ac:dyDescent="0.35"/>
  <cols>
    <col min="1" max="1" width="7.6328125" bestFit="1" customWidth="1"/>
    <col min="2" max="2" width="10.08984375" bestFit="1" customWidth="1"/>
    <col min="3" max="3" width="15.54296875" bestFit="1" customWidth="1"/>
    <col min="4" max="4" width="6.90625" bestFit="1" customWidth="1"/>
    <col min="5" max="5" width="10.453125" customWidth="1"/>
    <col min="6" max="6" width="5.26953125" bestFit="1" customWidth="1"/>
    <col min="7" max="7" width="8.08984375" bestFit="1" customWidth="1"/>
    <col min="10" max="13" width="18.08984375" customWidth="1"/>
  </cols>
  <sheetData>
    <row r="1" spans="1:13" x14ac:dyDescent="0.3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7</v>
      </c>
    </row>
    <row r="2" spans="1:13" x14ac:dyDescent="0.35">
      <c r="A2" s="42">
        <v>10507</v>
      </c>
      <c r="B2" s="43">
        <v>45335</v>
      </c>
      <c r="C2" s="42" t="s">
        <v>9</v>
      </c>
      <c r="D2" s="42" t="s">
        <v>10</v>
      </c>
      <c r="E2" s="42" t="s">
        <v>11</v>
      </c>
      <c r="F2" s="42">
        <v>91</v>
      </c>
      <c r="G2" s="42">
        <v>36400</v>
      </c>
    </row>
    <row r="3" spans="1:13" x14ac:dyDescent="0.35">
      <c r="A3" s="42">
        <v>10534</v>
      </c>
      <c r="B3" s="43">
        <v>45345</v>
      </c>
      <c r="C3" s="42" t="s">
        <v>13</v>
      </c>
      <c r="D3" s="42" t="s">
        <v>10</v>
      </c>
      <c r="E3" s="42" t="s">
        <v>14</v>
      </c>
      <c r="F3" s="42">
        <v>84</v>
      </c>
      <c r="G3" s="42">
        <v>33440</v>
      </c>
    </row>
    <row r="4" spans="1:13" x14ac:dyDescent="0.35">
      <c r="A4" s="42">
        <v>10537</v>
      </c>
      <c r="B4" s="43">
        <v>45336</v>
      </c>
      <c r="C4" s="42" t="s">
        <v>16</v>
      </c>
      <c r="D4" s="42" t="s">
        <v>10</v>
      </c>
      <c r="E4" s="42" t="s">
        <v>11</v>
      </c>
      <c r="F4" s="42">
        <v>84</v>
      </c>
      <c r="G4" s="42">
        <v>26752</v>
      </c>
    </row>
    <row r="5" spans="1:13" x14ac:dyDescent="0.35">
      <c r="A5" s="42">
        <v>10538</v>
      </c>
      <c r="B5" s="43">
        <v>45336</v>
      </c>
      <c r="C5" s="42" t="s">
        <v>142</v>
      </c>
      <c r="D5" s="42" t="s">
        <v>10</v>
      </c>
      <c r="E5" s="42" t="s">
        <v>11</v>
      </c>
      <c r="F5" s="42">
        <v>84</v>
      </c>
      <c r="G5" s="42">
        <v>26752</v>
      </c>
      <c r="J5" s="34" t="s">
        <v>2</v>
      </c>
      <c r="K5" s="34" t="s">
        <v>5</v>
      </c>
      <c r="L5" s="34" t="s">
        <v>4</v>
      </c>
      <c r="M5" s="34" t="s">
        <v>7</v>
      </c>
    </row>
    <row r="6" spans="1:13" x14ac:dyDescent="0.35">
      <c r="A6" s="42">
        <v>10542</v>
      </c>
      <c r="B6" s="43">
        <v>45336</v>
      </c>
      <c r="C6" s="42" t="s">
        <v>17</v>
      </c>
      <c r="D6" s="42" t="s">
        <v>10</v>
      </c>
      <c r="E6" s="42" t="s">
        <v>14</v>
      </c>
      <c r="F6" s="42">
        <v>84</v>
      </c>
      <c r="G6" s="42">
        <v>33440</v>
      </c>
      <c r="J6" s="31" t="s">
        <v>13</v>
      </c>
      <c r="K6" s="31">
        <f>DGET($A$1:$G$27,K$5,J5:J6)</f>
        <v>84</v>
      </c>
      <c r="L6" s="31" t="e">
        <f>DGET($A$1:$G$27,L$5,K5:K6)</f>
        <v>#NUM!</v>
      </c>
      <c r="M6" s="31" t="e">
        <f>DGET($A$1:$G$27,M$5,L5:L6)</f>
        <v>#VALUE!</v>
      </c>
    </row>
    <row r="7" spans="1:13" x14ac:dyDescent="0.35">
      <c r="A7" s="42">
        <v>10406</v>
      </c>
      <c r="B7" s="43">
        <v>45415</v>
      </c>
      <c r="C7" s="42" t="s">
        <v>18</v>
      </c>
      <c r="D7" s="42" t="s">
        <v>19</v>
      </c>
      <c r="E7" s="42" t="s">
        <v>20</v>
      </c>
      <c r="F7" s="42">
        <v>84</v>
      </c>
      <c r="G7" s="42">
        <v>20900</v>
      </c>
      <c r="J7" s="31" t="s">
        <v>142</v>
      </c>
      <c r="K7" s="31"/>
      <c r="L7" s="31"/>
      <c r="M7" s="31"/>
    </row>
    <row r="8" spans="1:13" x14ac:dyDescent="0.35">
      <c r="A8" s="42">
        <v>10485</v>
      </c>
      <c r="B8" s="43">
        <v>45415</v>
      </c>
      <c r="C8" s="42" t="s">
        <v>21</v>
      </c>
      <c r="D8" s="42" t="s">
        <v>10</v>
      </c>
      <c r="E8" s="42" t="s">
        <v>22</v>
      </c>
      <c r="F8" s="42">
        <v>82</v>
      </c>
      <c r="G8" s="42">
        <v>26240</v>
      </c>
    </row>
    <row r="9" spans="1:13" x14ac:dyDescent="0.35">
      <c r="A9" s="42">
        <v>10453</v>
      </c>
      <c r="B9" s="43">
        <v>45415</v>
      </c>
      <c r="C9" s="42" t="s">
        <v>23</v>
      </c>
      <c r="D9" s="42" t="s">
        <v>19</v>
      </c>
      <c r="E9" s="42" t="s">
        <v>24</v>
      </c>
      <c r="F9" s="42">
        <v>80</v>
      </c>
      <c r="G9" s="42">
        <v>20000</v>
      </c>
    </row>
    <row r="10" spans="1:13" x14ac:dyDescent="0.35">
      <c r="A10" s="42">
        <v>10477</v>
      </c>
      <c r="B10" s="43">
        <v>45415</v>
      </c>
      <c r="C10" s="42" t="s">
        <v>25</v>
      </c>
      <c r="D10" s="42" t="s">
        <v>19</v>
      </c>
      <c r="E10" s="42" t="s">
        <v>11</v>
      </c>
      <c r="F10" s="42">
        <v>80</v>
      </c>
      <c r="G10" s="42">
        <v>12000</v>
      </c>
    </row>
    <row r="11" spans="1:13" x14ac:dyDescent="0.35">
      <c r="A11" s="42">
        <v>10486</v>
      </c>
      <c r="B11" s="43">
        <v>45357</v>
      </c>
      <c r="C11" s="42" t="s">
        <v>26</v>
      </c>
      <c r="D11" s="42" t="s">
        <v>19</v>
      </c>
      <c r="E11" s="42" t="s">
        <v>27</v>
      </c>
      <c r="F11" s="42">
        <v>80</v>
      </c>
      <c r="G11" s="42">
        <v>12000</v>
      </c>
    </row>
    <row r="12" spans="1:13" x14ac:dyDescent="0.35">
      <c r="A12" s="42">
        <v>10490</v>
      </c>
      <c r="B12" s="43">
        <v>45336</v>
      </c>
      <c r="C12" s="42" t="s">
        <v>28</v>
      </c>
      <c r="D12" s="42" t="s">
        <v>19</v>
      </c>
      <c r="E12" s="42" t="s">
        <v>22</v>
      </c>
      <c r="F12" s="42">
        <v>80</v>
      </c>
      <c r="G12" s="42">
        <v>12000</v>
      </c>
    </row>
    <row r="13" spans="1:13" x14ac:dyDescent="0.35">
      <c r="A13" s="42">
        <v>10502</v>
      </c>
      <c r="B13" s="43">
        <v>45426</v>
      </c>
      <c r="C13" s="42" t="s">
        <v>30</v>
      </c>
      <c r="D13" s="42" t="s">
        <v>19</v>
      </c>
      <c r="E13" s="42" t="s">
        <v>24</v>
      </c>
      <c r="F13" s="42">
        <v>80</v>
      </c>
      <c r="G13" s="42">
        <v>25600</v>
      </c>
    </row>
    <row r="14" spans="1:13" x14ac:dyDescent="0.35">
      <c r="A14" s="42">
        <v>10523</v>
      </c>
      <c r="B14" s="43">
        <v>45634</v>
      </c>
      <c r="C14" s="42" t="s">
        <v>31</v>
      </c>
      <c r="D14" s="42" t="s">
        <v>10</v>
      </c>
      <c r="E14" s="42" t="s">
        <v>22</v>
      </c>
      <c r="F14" s="42">
        <v>80</v>
      </c>
      <c r="G14" s="42">
        <v>32000</v>
      </c>
    </row>
    <row r="15" spans="1:13" x14ac:dyDescent="0.35">
      <c r="A15" s="42">
        <v>10525</v>
      </c>
      <c r="B15" s="43">
        <v>45576</v>
      </c>
      <c r="C15" s="42" t="s">
        <v>32</v>
      </c>
      <c r="D15" s="42" t="s">
        <v>10</v>
      </c>
      <c r="E15" s="42" t="s">
        <v>24</v>
      </c>
      <c r="F15" s="42">
        <v>80</v>
      </c>
      <c r="G15" s="42">
        <v>25536</v>
      </c>
    </row>
    <row r="16" spans="1:13" x14ac:dyDescent="0.35">
      <c r="A16" s="42">
        <v>10535</v>
      </c>
      <c r="B16" s="43">
        <v>45871</v>
      </c>
      <c r="C16" s="42" t="s">
        <v>33</v>
      </c>
      <c r="D16" s="42" t="s">
        <v>10</v>
      </c>
      <c r="E16" s="42" t="s">
        <v>14</v>
      </c>
      <c r="F16" s="42">
        <v>80</v>
      </c>
      <c r="G16" s="42">
        <v>31840</v>
      </c>
    </row>
    <row r="17" spans="1:7" x14ac:dyDescent="0.35">
      <c r="A17" s="42">
        <v>10461</v>
      </c>
      <c r="B17" s="43">
        <v>45905</v>
      </c>
      <c r="C17" s="42" t="s">
        <v>34</v>
      </c>
      <c r="D17" s="42" t="s">
        <v>19</v>
      </c>
      <c r="E17" s="42" t="s">
        <v>22</v>
      </c>
      <c r="F17" s="42">
        <v>76</v>
      </c>
      <c r="G17" s="42">
        <v>30400</v>
      </c>
    </row>
    <row r="18" spans="1:7" x14ac:dyDescent="0.35">
      <c r="A18" s="42">
        <v>10506</v>
      </c>
      <c r="B18" s="43">
        <v>45846</v>
      </c>
      <c r="C18" s="42" t="s">
        <v>35</v>
      </c>
      <c r="D18" s="42" t="s">
        <v>10</v>
      </c>
      <c r="E18" s="42" t="s">
        <v>11</v>
      </c>
      <c r="F18" s="42">
        <v>76</v>
      </c>
      <c r="G18" s="42">
        <v>11400</v>
      </c>
    </row>
    <row r="19" spans="1:7" x14ac:dyDescent="0.35">
      <c r="A19" s="42">
        <v>10531</v>
      </c>
      <c r="B19" s="43">
        <v>45349</v>
      </c>
      <c r="C19" s="42" t="s">
        <v>37</v>
      </c>
      <c r="D19" s="42" t="s">
        <v>10</v>
      </c>
      <c r="E19" s="42" t="s">
        <v>14</v>
      </c>
      <c r="F19" s="42">
        <v>76</v>
      </c>
      <c r="G19" s="42">
        <v>30400</v>
      </c>
    </row>
    <row r="20" spans="1:7" x14ac:dyDescent="0.35">
      <c r="A20" s="42">
        <v>10536</v>
      </c>
      <c r="B20" s="43">
        <v>45344</v>
      </c>
      <c r="C20" s="42" t="s">
        <v>39</v>
      </c>
      <c r="D20" s="42" t="s">
        <v>10</v>
      </c>
      <c r="E20" s="42" t="s">
        <v>11</v>
      </c>
      <c r="F20" s="42">
        <v>76</v>
      </c>
      <c r="G20" s="42">
        <v>11400</v>
      </c>
    </row>
    <row r="21" spans="1:7" x14ac:dyDescent="0.35">
      <c r="A21" s="42">
        <v>10541</v>
      </c>
      <c r="B21" s="43">
        <v>45420</v>
      </c>
      <c r="C21" s="42" t="s">
        <v>40</v>
      </c>
      <c r="D21" s="42" t="s">
        <v>10</v>
      </c>
      <c r="E21" s="42" t="s">
        <v>14</v>
      </c>
      <c r="F21" s="42">
        <v>76</v>
      </c>
      <c r="G21" s="42">
        <v>24320</v>
      </c>
    </row>
    <row r="22" spans="1:7" x14ac:dyDescent="0.35">
      <c r="A22" s="42">
        <v>10546</v>
      </c>
      <c r="B22" s="43">
        <v>45459</v>
      </c>
      <c r="C22" s="42" t="s">
        <v>42</v>
      </c>
      <c r="D22" s="42" t="s">
        <v>19</v>
      </c>
      <c r="E22" s="42" t="s">
        <v>22</v>
      </c>
      <c r="F22" s="42">
        <v>76</v>
      </c>
      <c r="G22" s="42">
        <v>24320</v>
      </c>
    </row>
    <row r="23" spans="1:7" x14ac:dyDescent="0.35">
      <c r="A23" s="42">
        <v>10501</v>
      </c>
      <c r="B23" s="43">
        <v>45499</v>
      </c>
      <c r="C23" s="42" t="s">
        <v>44</v>
      </c>
      <c r="D23" s="42" t="s">
        <v>19</v>
      </c>
      <c r="E23" s="42" t="s">
        <v>24</v>
      </c>
      <c r="F23" s="42">
        <v>76</v>
      </c>
      <c r="G23" s="42">
        <v>24320</v>
      </c>
    </row>
    <row r="24" spans="1:7" x14ac:dyDescent="0.35">
      <c r="A24" s="42">
        <v>10456</v>
      </c>
      <c r="B24" s="43">
        <v>45449</v>
      </c>
      <c r="C24" s="42" t="s">
        <v>45</v>
      </c>
      <c r="D24" s="42" t="s">
        <v>19</v>
      </c>
      <c r="E24" s="42" t="s">
        <v>27</v>
      </c>
      <c r="F24" s="42">
        <v>75</v>
      </c>
      <c r="G24" s="42">
        <v>24000</v>
      </c>
    </row>
    <row r="25" spans="1:7" x14ac:dyDescent="0.35">
      <c r="A25" s="42">
        <v>10457</v>
      </c>
      <c r="B25" s="43">
        <v>45399</v>
      </c>
      <c r="C25" s="42" t="s">
        <v>47</v>
      </c>
      <c r="D25" s="42" t="s">
        <v>19</v>
      </c>
      <c r="E25" s="42" t="s">
        <v>27</v>
      </c>
      <c r="F25" s="42">
        <v>75</v>
      </c>
      <c r="G25" s="42">
        <v>30000</v>
      </c>
    </row>
    <row r="26" spans="1:7" x14ac:dyDescent="0.35">
      <c r="A26" s="42">
        <v>10463</v>
      </c>
      <c r="B26" s="43">
        <v>45349</v>
      </c>
      <c r="C26" s="42" t="s">
        <v>48</v>
      </c>
      <c r="D26" s="42" t="s">
        <v>10</v>
      </c>
      <c r="E26" s="42" t="s">
        <v>22</v>
      </c>
      <c r="F26" s="42">
        <v>75</v>
      </c>
      <c r="G26" s="42">
        <v>11250</v>
      </c>
    </row>
    <row r="27" spans="1:7" x14ac:dyDescent="0.35">
      <c r="A27" s="42">
        <v>10468</v>
      </c>
      <c r="B27" s="43">
        <v>45324</v>
      </c>
      <c r="C27" s="42"/>
      <c r="D27" s="42"/>
      <c r="E27" s="42"/>
      <c r="F27" s="42"/>
      <c r="G27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5E29-C9D9-473B-88BC-15E541469CA6}">
  <dimension ref="A1:H39"/>
  <sheetViews>
    <sheetView topLeftCell="A22" workbookViewId="0">
      <selection activeCell="C29" sqref="C29"/>
    </sheetView>
  </sheetViews>
  <sheetFormatPr defaultRowHeight="14.5" x14ac:dyDescent="0.35"/>
  <cols>
    <col min="2" max="2" width="46.81640625" bestFit="1" customWidth="1"/>
    <col min="3" max="3" width="15" bestFit="1" customWidth="1"/>
    <col min="4" max="4" width="12.6328125" customWidth="1"/>
    <col min="5" max="5" width="7" bestFit="1" customWidth="1"/>
    <col min="6" max="6" width="8.453125" bestFit="1" customWidth="1"/>
  </cols>
  <sheetData>
    <row r="1" spans="1:6" x14ac:dyDescent="0.35">
      <c r="B1" s="16" t="s">
        <v>54</v>
      </c>
    </row>
    <row r="2" spans="1:6" x14ac:dyDescent="0.35">
      <c r="A2">
        <v>1</v>
      </c>
      <c r="B2" t="s">
        <v>55</v>
      </c>
      <c r="C2">
        <f>VLOOKUP(10507,Sales!A2:H31,8,FALSE)</f>
        <v>36400</v>
      </c>
      <c r="D2">
        <f>_xlfn.XLOOKUP(10507,Sales!A2:A31,Sales!H2:H31,"NA",0)</f>
        <v>36400</v>
      </c>
    </row>
    <row r="3" spans="1:6" x14ac:dyDescent="0.35">
      <c r="A3">
        <v>2</v>
      </c>
      <c r="B3" t="s">
        <v>56</v>
      </c>
      <c r="C3" t="str">
        <f>VLOOKUP(10486,Sales!A2:H31,3,FALSE)</f>
        <v>Steven Simpson</v>
      </c>
    </row>
    <row r="4" spans="1:6" x14ac:dyDescent="0.35">
      <c r="A4">
        <v>3</v>
      </c>
      <c r="B4" t="s">
        <v>57</v>
      </c>
      <c r="C4" t="str">
        <f>VLOOKUP(10546,Sales!A2:H31,5,FALSE)</f>
        <v>JP</v>
      </c>
    </row>
    <row r="5" spans="1:6" x14ac:dyDescent="0.35">
      <c r="A5">
        <v>4</v>
      </c>
      <c r="B5" t="s">
        <v>58</v>
      </c>
    </row>
    <row r="6" spans="1:6" x14ac:dyDescent="0.35">
      <c r="A6">
        <v>5</v>
      </c>
      <c r="B6" t="s">
        <v>59</v>
      </c>
      <c r="C6" t="str">
        <f>IFERROR(VLOOKUP(99999,Sales!A2:H31,6,FALSE),"Not Present")</f>
        <v>Not Present</v>
      </c>
    </row>
    <row r="7" spans="1:6" x14ac:dyDescent="0.35">
      <c r="C7" s="13" t="s">
        <v>0</v>
      </c>
      <c r="D7" s="13">
        <v>10507</v>
      </c>
      <c r="E7" s="13">
        <v>10534</v>
      </c>
      <c r="F7" s="13">
        <v>10537</v>
      </c>
    </row>
    <row r="8" spans="1:6" ht="29" x14ac:dyDescent="0.35">
      <c r="C8" s="15" t="s">
        <v>2</v>
      </c>
      <c r="D8" s="14" t="s">
        <v>9</v>
      </c>
      <c r="E8" s="14" t="s">
        <v>13</v>
      </c>
      <c r="F8" s="14" t="s">
        <v>16</v>
      </c>
    </row>
    <row r="9" spans="1:6" x14ac:dyDescent="0.35">
      <c r="C9" s="15" t="s">
        <v>3</v>
      </c>
      <c r="D9" s="14" t="s">
        <v>10</v>
      </c>
      <c r="E9" s="14" t="s">
        <v>10</v>
      </c>
      <c r="F9" s="14" t="s">
        <v>10</v>
      </c>
    </row>
    <row r="10" spans="1:6" x14ac:dyDescent="0.35">
      <c r="C10" s="15" t="s">
        <v>4</v>
      </c>
      <c r="D10" s="14" t="s">
        <v>11</v>
      </c>
      <c r="E10" s="14" t="s">
        <v>14</v>
      </c>
      <c r="F10" s="14" t="s">
        <v>11</v>
      </c>
    </row>
    <row r="11" spans="1:6" x14ac:dyDescent="0.35">
      <c r="C11" s="15" t="s">
        <v>5</v>
      </c>
      <c r="D11" s="14">
        <v>91</v>
      </c>
      <c r="E11" s="14">
        <v>84</v>
      </c>
      <c r="F11" s="14">
        <v>84</v>
      </c>
    </row>
    <row r="12" spans="1:6" x14ac:dyDescent="0.35">
      <c r="B12" s="16" t="s">
        <v>60</v>
      </c>
      <c r="C12" s="15" t="s">
        <v>7</v>
      </c>
      <c r="D12" s="14">
        <v>36400</v>
      </c>
      <c r="E12" s="14">
        <v>33440</v>
      </c>
      <c r="F12" s="14">
        <v>26752</v>
      </c>
    </row>
    <row r="13" spans="1:6" x14ac:dyDescent="0.35">
      <c r="A13">
        <v>1</v>
      </c>
      <c r="B13" t="s">
        <v>61</v>
      </c>
    </row>
    <row r="14" spans="1:6" x14ac:dyDescent="0.35">
      <c r="A14">
        <v>2</v>
      </c>
      <c r="B14" t="s">
        <v>62</v>
      </c>
    </row>
    <row r="15" spans="1:6" x14ac:dyDescent="0.35">
      <c r="A15">
        <v>3</v>
      </c>
      <c r="B15" t="s">
        <v>63</v>
      </c>
    </row>
    <row r="16" spans="1:6" x14ac:dyDescent="0.35">
      <c r="B16" s="16" t="s">
        <v>64</v>
      </c>
    </row>
    <row r="17" spans="1:8" x14ac:dyDescent="0.35">
      <c r="A17">
        <v>1</v>
      </c>
      <c r="B17" s="17" t="s">
        <v>65</v>
      </c>
    </row>
    <row r="18" spans="1:8" ht="43.5" x14ac:dyDescent="0.35">
      <c r="A18" s="18">
        <v>2</v>
      </c>
      <c r="B18" s="19" t="s">
        <v>66</v>
      </c>
    </row>
    <row r="19" spans="1:8" x14ac:dyDescent="0.35">
      <c r="A19">
        <v>3</v>
      </c>
      <c r="B19" s="17" t="s">
        <v>67</v>
      </c>
    </row>
    <row r="20" spans="1:8" x14ac:dyDescent="0.35">
      <c r="A20">
        <v>4</v>
      </c>
      <c r="B20" s="17" t="s">
        <v>68</v>
      </c>
    </row>
    <row r="21" spans="1:8" x14ac:dyDescent="0.35">
      <c r="B21" s="17" t="s">
        <v>69</v>
      </c>
      <c r="C21">
        <f>_xlfn.XLOOKUP(10478,Sales!A2:A31,Sales!F2:F31,"NA",0,-1)</f>
        <v>87</v>
      </c>
    </row>
    <row r="22" spans="1:8" x14ac:dyDescent="0.35">
      <c r="B22" s="16" t="s">
        <v>70</v>
      </c>
    </row>
    <row r="23" spans="1:8" x14ac:dyDescent="0.35">
      <c r="A23">
        <v>1</v>
      </c>
      <c r="B23" t="s">
        <v>71</v>
      </c>
      <c r="C23" s="30">
        <f>INDEX(Sales!H2:H31,MATCH(10507,Sales!A2:A31,0))</f>
        <v>36400</v>
      </c>
    </row>
    <row r="24" spans="1:8" x14ac:dyDescent="0.35">
      <c r="A24">
        <v>2</v>
      </c>
      <c r="B24" t="s">
        <v>72</v>
      </c>
      <c r="C24" s="30" t="str">
        <f>INDEX(Sales!E2:E31,MATCH(10486,Sales!A2:A31,0))</f>
        <v>US</v>
      </c>
    </row>
    <row r="25" spans="1:8" x14ac:dyDescent="0.35">
      <c r="A25">
        <v>3</v>
      </c>
      <c r="B25" t="s">
        <v>73</v>
      </c>
      <c r="C25" s="30">
        <f>INDEX(Sales!F2:F31,MATCH(10502,Sales!A2:A31,0))</f>
        <v>80</v>
      </c>
    </row>
    <row r="26" spans="1:8" x14ac:dyDescent="0.35">
      <c r="A26">
        <v>4</v>
      </c>
      <c r="B26" t="s">
        <v>73</v>
      </c>
      <c r="C26" s="30">
        <f>INDEX(Sales!F2:F31,MATCH(10502,Sales!A2:A31,0))</f>
        <v>80</v>
      </c>
    </row>
    <row r="27" spans="1:8" x14ac:dyDescent="0.35">
      <c r="A27">
        <v>5</v>
      </c>
      <c r="B27" t="s">
        <v>74</v>
      </c>
      <c r="C27" s="30" t="str">
        <f>INDEX(Sales!D2:D31,MATCH(10457,Sales!A2:A31,0))</f>
        <v>Male</v>
      </c>
    </row>
    <row r="28" spans="1:8" x14ac:dyDescent="0.35">
      <c r="A28">
        <v>6</v>
      </c>
      <c r="B28" t="s">
        <v>75</v>
      </c>
    </row>
    <row r="29" spans="1:8" x14ac:dyDescent="0.35">
      <c r="B29" t="s">
        <v>76</v>
      </c>
      <c r="C29" t="e">
        <f>INDEX(Sales!H2:H31,MATCH("Thomas Clark",Sales!C2:C31,0),MATCH(DATE(2024,2,20),Sales!B2:B31,0))</f>
        <v>#REF!</v>
      </c>
      <c r="D29" cm="1">
        <f t="array" ref="D29">_xlfn.XLOOKUP(1, (Sales!C2:C31="Thomas Clark") * (Sales!B2:B31=DATE(2024,2,20)), Sales!H2:H31)</f>
        <v>18750</v>
      </c>
    </row>
    <row r="30" spans="1:8" x14ac:dyDescent="0.35">
      <c r="B30" t="s">
        <v>77</v>
      </c>
      <c r="C30" cm="1">
        <f t="array" ref="C30">INDEX(Sales!H2:H31,
       MATCH(1,
            (Sales!C2:C31="Thomas Clark")*
            (Sales!B2:B31=DATE(2024,2,20)),
       0))</f>
        <v>18750</v>
      </c>
      <c r="H30" cm="1">
        <f t="array" ref="H30">INDEX(Sales!H2:H31,MATCH(1,(Sales!C2:C31="Thomas Clark")*(Sales!B2:B31=DATE(2024,2,20)),0))</f>
        <v>18750</v>
      </c>
    </row>
    <row r="31" spans="1:8" x14ac:dyDescent="0.35">
      <c r="A31">
        <v>7</v>
      </c>
      <c r="B31" t="s">
        <v>78</v>
      </c>
      <c r="E31" t="s">
        <v>138</v>
      </c>
    </row>
    <row r="32" spans="1:8" x14ac:dyDescent="0.35">
      <c r="B32" t="s">
        <v>137</v>
      </c>
      <c r="C32" s="30" cm="1">
        <f t="array" ref="C32">INDEX(Sales!F2:F31,MATCH(1,(Sales!E2:E31="JP")*(Sales!D2:D31="Female"),0))</f>
        <v>82</v>
      </c>
      <c r="E32" t="s">
        <v>133</v>
      </c>
    </row>
    <row r="33" spans="1:5" x14ac:dyDescent="0.35">
      <c r="B33" t="s">
        <v>80</v>
      </c>
      <c r="E33" t="s">
        <v>134</v>
      </c>
    </row>
    <row r="34" spans="1:5" x14ac:dyDescent="0.35">
      <c r="A34">
        <v>8</v>
      </c>
      <c r="B34" t="s">
        <v>78</v>
      </c>
      <c r="C34" s="30" cm="1">
        <f t="array" ref="C34">INDEX(Sales!F2:F31,MATCH(1,(Sales!E2:E31="FR")*(Sales!D2:D31="Female"),0))</f>
        <v>91</v>
      </c>
      <c r="E34" t="s">
        <v>135</v>
      </c>
    </row>
    <row r="35" spans="1:5" x14ac:dyDescent="0.35">
      <c r="B35" t="s">
        <v>79</v>
      </c>
      <c r="E35" t="s">
        <v>136</v>
      </c>
    </row>
    <row r="36" spans="1:5" x14ac:dyDescent="0.35">
      <c r="B36" t="s">
        <v>80</v>
      </c>
    </row>
    <row r="37" spans="1:5" x14ac:dyDescent="0.35">
      <c r="A37">
        <v>9</v>
      </c>
      <c r="B37" t="s">
        <v>75</v>
      </c>
      <c r="C37" cm="1">
        <f t="array" ref="C37">INDEX(Sales!H2:H31,MATCH(1,
(Sales!E2:E31="JP")*
(Sales!F2:F31=87),
0))</f>
        <v>18750</v>
      </c>
    </row>
    <row r="38" spans="1:5" x14ac:dyDescent="0.35">
      <c r="B38" t="s">
        <v>81</v>
      </c>
    </row>
    <row r="39" spans="1:5" x14ac:dyDescent="0.35">
      <c r="B39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2E66-05D4-432B-ABD9-E28BF551DFBC}">
  <dimension ref="A1:I19"/>
  <sheetViews>
    <sheetView topLeftCell="C7" workbookViewId="0">
      <selection activeCell="I18" sqref="I18"/>
    </sheetView>
  </sheetViews>
  <sheetFormatPr defaultRowHeight="14.5" x14ac:dyDescent="0.35"/>
  <cols>
    <col min="3" max="3" width="68.7265625" bestFit="1" customWidth="1"/>
    <col min="4" max="4" width="33.26953125" bestFit="1" customWidth="1"/>
    <col min="5" max="5" width="31.7265625" customWidth="1"/>
    <col min="6" max="6" width="9.7265625" customWidth="1"/>
    <col min="7" max="7" width="13.54296875" customWidth="1"/>
    <col min="8" max="8" width="9.54296875" customWidth="1"/>
    <col min="9" max="9" width="15.26953125" customWidth="1"/>
  </cols>
  <sheetData>
    <row r="1" spans="1:9" x14ac:dyDescent="0.3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7"/>
      <c r="B2" s="17"/>
      <c r="C2" s="17" t="s">
        <v>83</v>
      </c>
      <c r="D2" s="17" t="s">
        <v>84</v>
      </c>
      <c r="E2" s="17"/>
      <c r="F2" s="17"/>
      <c r="G2" s="17"/>
      <c r="H2" s="17"/>
      <c r="I2" s="17"/>
    </row>
    <row r="3" spans="1:9" x14ac:dyDescent="0.35">
      <c r="A3" s="17"/>
      <c r="B3" s="17"/>
      <c r="C3" s="17" t="s">
        <v>85</v>
      </c>
      <c r="D3" s="17" t="s">
        <v>86</v>
      </c>
      <c r="E3" s="17"/>
      <c r="F3" s="17"/>
      <c r="G3" s="17"/>
      <c r="H3" s="17"/>
      <c r="I3" s="17"/>
    </row>
    <row r="4" spans="1:9" x14ac:dyDescent="0.35">
      <c r="A4" s="17"/>
      <c r="B4" s="17"/>
      <c r="C4" s="17"/>
      <c r="D4" s="17"/>
      <c r="E4" s="26" t="s">
        <v>87</v>
      </c>
      <c r="F4" s="27" t="s">
        <v>2</v>
      </c>
      <c r="G4" s="27" t="s">
        <v>88</v>
      </c>
      <c r="H4" s="27" t="s">
        <v>89</v>
      </c>
      <c r="I4" s="17"/>
    </row>
    <row r="5" spans="1:9" x14ac:dyDescent="0.35">
      <c r="A5" s="17"/>
      <c r="B5" s="17"/>
      <c r="C5" s="17" t="s">
        <v>90</v>
      </c>
      <c r="D5" s="17"/>
      <c r="E5" s="20">
        <v>101</v>
      </c>
      <c r="F5" s="21" t="s">
        <v>91</v>
      </c>
      <c r="G5" s="21" t="s">
        <v>92</v>
      </c>
      <c r="H5" s="21">
        <v>45000</v>
      </c>
      <c r="I5" s="17"/>
    </row>
    <row r="6" spans="1:9" x14ac:dyDescent="0.35">
      <c r="A6" s="17"/>
      <c r="B6" s="17"/>
      <c r="C6" s="17" t="s">
        <v>93</v>
      </c>
      <c r="D6" s="17"/>
      <c r="E6" s="20">
        <v>102</v>
      </c>
      <c r="F6" s="21" t="s">
        <v>94</v>
      </c>
      <c r="G6" s="21" t="s">
        <v>95</v>
      </c>
      <c r="H6" s="21">
        <v>38000</v>
      </c>
      <c r="I6" s="17"/>
    </row>
    <row r="7" spans="1:9" x14ac:dyDescent="0.35">
      <c r="A7" s="17"/>
      <c r="B7" s="17"/>
      <c r="C7" s="17"/>
      <c r="D7" s="17"/>
      <c r="E7" s="20">
        <v>103</v>
      </c>
      <c r="F7" s="21" t="s">
        <v>96</v>
      </c>
      <c r="G7" s="21" t="s">
        <v>97</v>
      </c>
      <c r="H7" s="21">
        <v>52000</v>
      </c>
      <c r="I7" s="17"/>
    </row>
    <row r="8" spans="1:9" x14ac:dyDescent="0.35">
      <c r="A8" s="17"/>
      <c r="B8" s="17"/>
      <c r="C8" s="22" t="s">
        <v>98</v>
      </c>
      <c r="D8" s="17"/>
      <c r="E8" s="17"/>
      <c r="F8" s="17"/>
      <c r="G8" s="17"/>
      <c r="H8" s="17"/>
      <c r="I8" s="17"/>
    </row>
    <row r="9" spans="1:9" x14ac:dyDescent="0.35">
      <c r="A9" s="17"/>
      <c r="B9" s="17"/>
      <c r="C9" s="17"/>
      <c r="D9" s="17"/>
      <c r="E9" s="17" t="s">
        <v>99</v>
      </c>
      <c r="F9" s="17"/>
      <c r="G9" s="23" t="s">
        <v>100</v>
      </c>
      <c r="H9" s="17">
        <v>2</v>
      </c>
      <c r="I9" s="17">
        <f>MATCH("Neha",F5:F7,0)</f>
        <v>2</v>
      </c>
    </row>
    <row r="10" spans="1:9" x14ac:dyDescent="0.35">
      <c r="A10" s="17"/>
      <c r="B10" s="17"/>
      <c r="C10" s="25" t="s">
        <v>101</v>
      </c>
      <c r="D10" s="17"/>
      <c r="E10" s="17"/>
      <c r="F10" s="17"/>
      <c r="G10" s="23" t="s">
        <v>102</v>
      </c>
      <c r="H10" s="17">
        <v>38000</v>
      </c>
      <c r="I10" s="17">
        <f>INDEX(H5:H7,2)</f>
        <v>38000</v>
      </c>
    </row>
    <row r="11" spans="1:9" x14ac:dyDescent="0.35">
      <c r="A11" s="17"/>
      <c r="B11" s="17"/>
      <c r="C11" s="25" t="s">
        <v>103</v>
      </c>
      <c r="D11" s="17"/>
      <c r="E11" s="17"/>
      <c r="F11" s="17"/>
      <c r="G11" s="23" t="s">
        <v>70</v>
      </c>
      <c r="H11" s="17">
        <v>38000</v>
      </c>
      <c r="I11" s="17">
        <f>INDEX(H5:H7,MATCH("Amit",F5:F7,0))</f>
        <v>45000</v>
      </c>
    </row>
    <row r="12" spans="1:9" x14ac:dyDescent="0.35">
      <c r="A12" s="17"/>
      <c r="B12" s="17"/>
      <c r="C12" s="17"/>
      <c r="D12" s="17"/>
      <c r="E12" s="28" t="s">
        <v>104</v>
      </c>
      <c r="F12" s="29" t="s">
        <v>2</v>
      </c>
      <c r="G12" s="29" t="s">
        <v>105</v>
      </c>
      <c r="H12" s="29" t="s">
        <v>106</v>
      </c>
      <c r="I12" s="29" t="s">
        <v>92</v>
      </c>
    </row>
    <row r="13" spans="1:9" x14ac:dyDescent="0.35">
      <c r="A13" s="17"/>
      <c r="B13" s="17"/>
      <c r="C13" s="25" t="s">
        <v>107</v>
      </c>
      <c r="D13" s="17"/>
      <c r="E13" s="20">
        <v>101</v>
      </c>
      <c r="F13" s="21" t="s">
        <v>91</v>
      </c>
      <c r="G13" s="21" t="s">
        <v>92</v>
      </c>
      <c r="H13" s="21" t="s">
        <v>108</v>
      </c>
      <c r="I13" s="21">
        <v>50000</v>
      </c>
    </row>
    <row r="14" spans="1:9" x14ac:dyDescent="0.35">
      <c r="A14" s="17"/>
      <c r="B14" s="17"/>
      <c r="C14" s="25" t="s">
        <v>109</v>
      </c>
      <c r="D14" s="17"/>
      <c r="E14" s="20">
        <v>101</v>
      </c>
      <c r="F14" s="21" t="s">
        <v>91</v>
      </c>
      <c r="G14" s="21" t="s">
        <v>92</v>
      </c>
      <c r="H14" s="21" t="s">
        <v>110</v>
      </c>
      <c r="I14" s="21">
        <v>60000</v>
      </c>
    </row>
    <row r="15" spans="1:9" x14ac:dyDescent="0.35">
      <c r="A15" s="17"/>
      <c r="B15" s="17"/>
      <c r="C15" s="17"/>
      <c r="D15" s="17"/>
      <c r="E15" s="20">
        <v>102</v>
      </c>
      <c r="F15" s="21" t="s">
        <v>94</v>
      </c>
      <c r="G15" s="21" t="s">
        <v>95</v>
      </c>
      <c r="H15" s="21" t="s">
        <v>108</v>
      </c>
      <c r="I15" s="21">
        <v>40000</v>
      </c>
    </row>
    <row r="16" spans="1:9" x14ac:dyDescent="0.35">
      <c r="A16" s="17"/>
      <c r="B16" s="17"/>
      <c r="C16" s="25" t="s">
        <v>111</v>
      </c>
      <c r="D16" s="17"/>
      <c r="E16" s="17"/>
      <c r="F16" s="17"/>
      <c r="G16" s="17"/>
      <c r="H16" s="17"/>
      <c r="I16" s="17"/>
    </row>
    <row r="17" spans="1:9" x14ac:dyDescent="0.35">
      <c r="A17" s="17"/>
      <c r="B17" s="17"/>
      <c r="C17" s="25" t="s">
        <v>112</v>
      </c>
      <c r="D17" s="17"/>
      <c r="E17" s="17" t="s">
        <v>113</v>
      </c>
      <c r="F17" s="17"/>
      <c r="G17" s="23" t="s">
        <v>54</v>
      </c>
      <c r="H17" s="17">
        <v>50000</v>
      </c>
      <c r="I17" s="17">
        <f>VLOOKUP("Amit",F13:I15,4,)</f>
        <v>50000</v>
      </c>
    </row>
    <row r="18" spans="1:9" x14ac:dyDescent="0.35">
      <c r="A18" s="17"/>
      <c r="B18" s="17"/>
      <c r="C18" s="17"/>
      <c r="D18" s="17"/>
      <c r="E18" s="24" t="s">
        <v>114</v>
      </c>
      <c r="F18" s="24"/>
      <c r="G18" s="23" t="s">
        <v>64</v>
      </c>
      <c r="H18" s="17">
        <v>50000</v>
      </c>
      <c r="I18" s="17">
        <f>_xlfn.XLOOKUP("Amit",F12:F15,I12:I15,"not found",-1)</f>
        <v>50000</v>
      </c>
    </row>
    <row r="19" spans="1:9" x14ac:dyDescent="0.35">
      <c r="A19" s="17"/>
      <c r="B19" s="17"/>
      <c r="C19" s="17"/>
      <c r="D19" s="17"/>
      <c r="E19" s="17"/>
      <c r="F19" s="17"/>
      <c r="G19" s="23" t="s">
        <v>70</v>
      </c>
      <c r="H19" s="17">
        <v>60000</v>
      </c>
      <c r="I19" s="17" cm="1">
        <f t="array" ref="I19">INDEX(I13:I15,MATCH("Amit",F13:F15,0)*MATCH("Feb",H13:H15,0))</f>
        <v>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8A3E-0736-4EC9-AF61-7F0DF7AB41E5}">
  <dimension ref="B2:M16"/>
  <sheetViews>
    <sheetView workbookViewId="0">
      <selection activeCell="K16" sqref="K16"/>
    </sheetView>
  </sheetViews>
  <sheetFormatPr defaultRowHeight="14.5" x14ac:dyDescent="0.35"/>
  <cols>
    <col min="3" max="3" width="11.453125" bestFit="1" customWidth="1"/>
    <col min="4" max="4" width="10.7265625" bestFit="1" customWidth="1"/>
    <col min="5" max="5" width="14.54296875" bestFit="1" customWidth="1"/>
    <col min="6" max="6" width="14.7265625" bestFit="1" customWidth="1"/>
    <col min="7" max="8" width="11.54296875" bestFit="1" customWidth="1"/>
    <col min="9" max="9" width="9.54296875" bestFit="1" customWidth="1"/>
    <col min="10" max="10" width="17.26953125" bestFit="1" customWidth="1"/>
    <col min="13" max="13" width="58.7265625" bestFit="1" customWidth="1"/>
  </cols>
  <sheetData>
    <row r="2" spans="2:13" x14ac:dyDescent="0.35">
      <c r="B2" t="s">
        <v>115</v>
      </c>
      <c r="I2">
        <v>1111</v>
      </c>
    </row>
    <row r="3" spans="2:13" x14ac:dyDescent="0.35">
      <c r="B3" s="5" t="s">
        <v>2</v>
      </c>
      <c r="C3" s="3" t="str" cm="1">
        <f t="array" ref="C3:I3">TRANSPOSE(Sales!C2:C8)</f>
        <v>Janet Murphy</v>
      </c>
      <c r="D3" s="3" t="str">
        <v>Janice Clark</v>
      </c>
      <c r="E3" s="3" t="str">
        <v>Charlotte Walker</v>
      </c>
      <c r="F3" s="3" t="str">
        <v>Hemant Shinde</v>
      </c>
      <c r="G3" s="3" t="str">
        <v>Doris Nguyen</v>
      </c>
      <c r="H3" s="3" t="str">
        <v>Keith Roberts</v>
      </c>
      <c r="I3" s="3" t="str">
        <v>Kelly Jones</v>
      </c>
    </row>
    <row r="4" spans="2:13" ht="15.5" x14ac:dyDescent="0.35">
      <c r="B4" s="5" t="s">
        <v>3</v>
      </c>
      <c r="C4" s="3" t="str" cm="1">
        <f t="array" ref="C4:G4">TRANSPOSE(Sales!D2:D6)</f>
        <v>Female</v>
      </c>
      <c r="D4" s="3" t="str">
        <v>Female</v>
      </c>
      <c r="E4" s="3" t="str">
        <v>Female</v>
      </c>
      <c r="F4" s="3" t="str">
        <v>Female</v>
      </c>
      <c r="G4" s="3" t="str">
        <v>Female</v>
      </c>
      <c r="H4" s="4" t="s">
        <v>19</v>
      </c>
      <c r="I4" s="4" t="s">
        <v>10</v>
      </c>
    </row>
    <row r="5" spans="2:13" x14ac:dyDescent="0.35">
      <c r="B5" s="5" t="s">
        <v>7</v>
      </c>
      <c r="C5" s="3" cm="1">
        <f t="array" ref="C5:I5">TRANSPOSE(Sales!H2:H8)</f>
        <v>36400</v>
      </c>
      <c r="D5" s="3">
        <v>33440</v>
      </c>
      <c r="E5" s="3">
        <v>26752</v>
      </c>
      <c r="F5" s="3">
        <v>26752</v>
      </c>
      <c r="G5" s="3">
        <v>33440</v>
      </c>
      <c r="H5" s="3">
        <v>20900</v>
      </c>
      <c r="I5" s="3">
        <v>26240</v>
      </c>
    </row>
    <row r="7" spans="2:13" ht="15.5" x14ac:dyDescent="0.35">
      <c r="J7" s="1"/>
    </row>
    <row r="8" spans="2:13" ht="15.5" x14ac:dyDescent="0.35">
      <c r="J8" s="1"/>
      <c r="M8" s="9" t="s">
        <v>116</v>
      </c>
    </row>
    <row r="9" spans="2:13" ht="15.5" x14ac:dyDescent="0.35">
      <c r="J9" s="1"/>
      <c r="M9" s="6" t="s">
        <v>117</v>
      </c>
    </row>
    <row r="10" spans="2:13" ht="15.5" x14ac:dyDescent="0.35">
      <c r="F10" s="3"/>
      <c r="J10" s="1"/>
    </row>
    <row r="12" spans="2:13" x14ac:dyDescent="0.35">
      <c r="H12" s="11" t="s">
        <v>118</v>
      </c>
      <c r="I12" s="11" t="s">
        <v>119</v>
      </c>
    </row>
    <row r="13" spans="2:13" ht="29" x14ac:dyDescent="0.35">
      <c r="H13" s="12" t="s">
        <v>120</v>
      </c>
      <c r="I13" s="12" t="s">
        <v>121</v>
      </c>
    </row>
    <row r="14" spans="2:13" x14ac:dyDescent="0.35">
      <c r="H14" s="12"/>
      <c r="I14" s="12"/>
    </row>
    <row r="15" spans="2:13" x14ac:dyDescent="0.35">
      <c r="H15" s="12"/>
      <c r="I15" s="12"/>
    </row>
    <row r="16" spans="2:13" ht="15.5" x14ac:dyDescent="0.35">
      <c r="J16" s="1"/>
    </row>
  </sheetData>
  <conditionalFormatting sqref="H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{CA526C6C-8854-4BC2-976B-E30CA0915364}</x14:id>
        </ext>
      </extLst>
    </cfRule>
  </conditionalFormatting>
  <conditionalFormatting sqref="H4:I4">
    <cfRule type="expression" dxfId="35" priority="37">
      <formula>$E4=#REF!</formula>
    </cfRule>
    <cfRule type="expression" dxfId="34" priority="38">
      <formula>$E4=#REF!</formula>
    </cfRule>
    <cfRule type="expression" dxfId="33" priority="39">
      <formula>$E4=#REF!</formula>
    </cfRule>
    <cfRule type="expression" dxfId="32" priority="40">
      <formula>$F4=#REF!</formula>
    </cfRule>
    <cfRule type="expression" dxfId="31" priority="41">
      <formula>$E4=#REF!</formula>
    </cfRule>
    <cfRule type="expression" dxfId="30" priority="42">
      <formula>$E4=#REF!</formula>
    </cfRule>
  </conditionalFormatting>
  <conditionalFormatting sqref="I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{B09BF464-366D-4D84-8BB8-DBEE6EA22EFE}</x14:id>
        </ext>
      </extLst>
    </cfRule>
  </conditionalFormatting>
  <conditionalFormatting sqref="J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{A3FFA925-BF16-46A0-AFDD-D2D3D52B131D}</x14:id>
        </ext>
      </extLst>
    </cfRule>
    <cfRule type="expression" dxfId="29" priority="23">
      <formula>$E8=#REF!</formula>
    </cfRule>
    <cfRule type="expression" dxfId="28" priority="24">
      <formula>$E8=#REF!</formula>
    </cfRule>
    <cfRule type="expression" dxfId="27" priority="25">
      <formula>$E8=#REF!</formula>
    </cfRule>
    <cfRule type="expression" dxfId="26" priority="26">
      <formula>$F8=#REF!</formula>
    </cfRule>
    <cfRule type="expression" dxfId="25" priority="27">
      <formula>$E8=#REF!</formula>
    </cfRule>
    <cfRule type="expression" dxfId="24" priority="28">
      <formula>$E8=#REF!</formula>
    </cfRule>
  </conditionalFormatting>
  <conditionalFormatting sqref="J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{2047E462-0567-4F55-A40C-9E8470817854}</x14:id>
        </ext>
      </extLst>
    </cfRule>
  </conditionalFormatting>
  <conditionalFormatting sqref="J8:J10">
    <cfRule type="expression" dxfId="23" priority="9">
      <formula>$E8=#REF!</formula>
    </cfRule>
    <cfRule type="expression" dxfId="22" priority="10">
      <formula>$E8=#REF!</formula>
    </cfRule>
    <cfRule type="expression" dxfId="21" priority="11">
      <formula>$E8=#REF!</formula>
    </cfRule>
    <cfRule type="expression" dxfId="20" priority="12">
      <formula>$F8=#REF!</formula>
    </cfRule>
    <cfRule type="expression" dxfId="19" priority="13">
      <formula>$E8=#REF!</formula>
    </cfRule>
    <cfRule type="expression" dxfId="18" priority="14">
      <formula>$E8=#REF!</formula>
    </cfRule>
  </conditionalFormatting>
  <conditionalFormatting sqref="J9:J1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{A6C5ACA3-D524-4EB7-AE69-B83766556FEF}</x14:id>
        </ext>
      </extLst>
    </cfRule>
  </conditionalFormatting>
  <conditionalFormatting sqref="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{1C91EA40-48E0-4E86-B317-2665A062D78D}</x14:id>
        </ext>
      </extLst>
    </cfRule>
    <cfRule type="expression" dxfId="17" priority="2">
      <formula>$E16=#REF!</formula>
    </cfRule>
    <cfRule type="expression" dxfId="16" priority="3">
      <formula>$E16=#REF!</formula>
    </cfRule>
    <cfRule type="expression" dxfId="15" priority="4">
      <formula>$E16=#REF!</formula>
    </cfRule>
    <cfRule type="expression" dxfId="14" priority="5">
      <formula>$F16=#REF!</formula>
    </cfRule>
    <cfRule type="expression" dxfId="13" priority="6">
      <formula>$E16=#REF!</formula>
    </cfRule>
    <cfRule type="expression" dxfId="12" priority="7">
      <formula>$E16=#REF!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526C6C-8854-4BC2-976B-E30CA0915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B09BF464-366D-4D84-8BB8-DBEE6EA22E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</xm:sqref>
        </x14:conditionalFormatting>
        <x14:conditionalFormatting xmlns:xm="http://schemas.microsoft.com/office/excel/2006/main">
          <x14:cfRule type="dataBar" id="{A3FFA925-BF16-46A0-AFDD-D2D3D52B1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2047E462-0567-4F55-A40C-9E8470817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A6C5ACA3-D524-4EB7-AE69-B83766556F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J9:J10</xm:sqref>
        </x14:conditionalFormatting>
        <x14:conditionalFormatting xmlns:xm="http://schemas.microsoft.com/office/excel/2006/main">
          <x14:cfRule type="dataBar" id="{1C91EA40-48E0-4E86-B317-2665A062D7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92B3-5B2D-40B8-A0A1-E60999BD940E}">
  <dimension ref="B2:I13"/>
  <sheetViews>
    <sheetView workbookViewId="0">
      <selection activeCell="C6" sqref="C6"/>
    </sheetView>
  </sheetViews>
  <sheetFormatPr defaultRowHeight="14.5" x14ac:dyDescent="0.35"/>
  <cols>
    <col min="2" max="2" width="17.26953125" bestFit="1" customWidth="1"/>
    <col min="7" max="7" width="76.81640625" bestFit="1" customWidth="1"/>
  </cols>
  <sheetData>
    <row r="2" spans="2:9" x14ac:dyDescent="0.35">
      <c r="B2" s="2" t="s">
        <v>2</v>
      </c>
      <c r="C2" s="2" t="s">
        <v>7</v>
      </c>
    </row>
    <row r="3" spans="2:9" ht="15.5" x14ac:dyDescent="0.35">
      <c r="B3" s="1" t="s">
        <v>9</v>
      </c>
      <c r="C3">
        <f>VLOOKUP(B3,Sales!$C$1:$H$31,6,FALSE)</f>
        <v>36400</v>
      </c>
    </row>
    <row r="4" spans="2:9" ht="15.5" x14ac:dyDescent="0.35">
      <c r="B4" s="1" t="s">
        <v>13</v>
      </c>
      <c r="C4">
        <f>VLOOKUP(B4,Sales!$C$1:$H$31,6,FALSE)</f>
        <v>33440</v>
      </c>
    </row>
    <row r="5" spans="2:9" ht="15.5" x14ac:dyDescent="0.35">
      <c r="B5" s="1" t="s">
        <v>16</v>
      </c>
      <c r="C5">
        <f>VLOOKUP(B5,Sales!$C$1:$H$31,6,FALSE)</f>
        <v>26752</v>
      </c>
      <c r="G5" s="9" t="s">
        <v>122</v>
      </c>
    </row>
    <row r="6" spans="2:9" ht="15.5" x14ac:dyDescent="0.35">
      <c r="B6" s="1" t="s">
        <v>123</v>
      </c>
      <c r="C6" t="e">
        <f>VLOOKUP(B6,Sales!$C$1:$H$31,6,FALSE)</f>
        <v>#N/A</v>
      </c>
      <c r="G6" s="10" t="s">
        <v>124</v>
      </c>
    </row>
    <row r="7" spans="2:9" ht="15.5" x14ac:dyDescent="0.35">
      <c r="B7" s="1" t="s">
        <v>17</v>
      </c>
      <c r="C7">
        <f>VLOOKUP(B7,Sales!$C$1:$H$31,6,FALSE)</f>
        <v>33440</v>
      </c>
    </row>
    <row r="8" spans="2:9" x14ac:dyDescent="0.35">
      <c r="G8" t="s">
        <v>125</v>
      </c>
    </row>
    <row r="9" spans="2:9" x14ac:dyDescent="0.35">
      <c r="G9" t="s">
        <v>126</v>
      </c>
    </row>
    <row r="10" spans="2:9" x14ac:dyDescent="0.35">
      <c r="G10" t="s">
        <v>127</v>
      </c>
    </row>
    <row r="11" spans="2:9" x14ac:dyDescent="0.35">
      <c r="G11" t="s">
        <v>128</v>
      </c>
      <c r="H11" s="11" t="s">
        <v>129</v>
      </c>
      <c r="I11" s="11" t="s">
        <v>130</v>
      </c>
    </row>
    <row r="12" spans="2:9" ht="29" x14ac:dyDescent="0.35">
      <c r="G12">
        <v>0</v>
      </c>
      <c r="H12" s="12" t="b">
        <v>0</v>
      </c>
      <c r="I12" s="12" t="s">
        <v>131</v>
      </c>
    </row>
    <row r="13" spans="2:9" ht="43.5" x14ac:dyDescent="0.35">
      <c r="G13">
        <v>1</v>
      </c>
      <c r="H13" s="12" t="b">
        <v>1</v>
      </c>
      <c r="I13" s="12" t="s">
        <v>132</v>
      </c>
    </row>
  </sheetData>
  <conditionalFormatting sqref="B3:B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{83D024F3-3DC2-413D-8D18-5E7224FEDE2C}</x14:id>
        </ext>
      </extLst>
    </cfRule>
    <cfRule type="expression" dxfId="11" priority="2">
      <formula>$E3=#REF!</formula>
    </cfRule>
    <cfRule type="expression" dxfId="10" priority="3">
      <formula>$E3=#REF!</formula>
    </cfRule>
    <cfRule type="expression" dxfId="9" priority="4">
      <formula>$E3=#REF!</formula>
    </cfRule>
    <cfRule type="expression" dxfId="8" priority="5">
      <formula>$F3=#REF!</formula>
    </cfRule>
    <cfRule type="expression" dxfId="7" priority="6">
      <formula>$E3=#REF!</formula>
    </cfRule>
    <cfRule type="expression" dxfId="6" priority="7">
      <formula>$E3=#REF!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D024F3-3DC2-413D-8D18-5E7224FED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ACEE-0B4D-4A7D-9FDC-D7A47561AC51}">
  <dimension ref="B3:J7"/>
  <sheetViews>
    <sheetView workbookViewId="0">
      <selection activeCell="L11" sqref="L11"/>
    </sheetView>
  </sheetViews>
  <sheetFormatPr defaultRowHeight="14.5" x14ac:dyDescent="0.35"/>
  <cols>
    <col min="3" max="3" width="11.453125" bestFit="1" customWidth="1"/>
    <col min="4" max="4" width="10.7265625" bestFit="1" customWidth="1"/>
    <col min="5" max="5" width="14.54296875" bestFit="1" customWidth="1"/>
    <col min="6" max="6" width="14.7265625" bestFit="1" customWidth="1"/>
    <col min="7" max="8" width="11.54296875" bestFit="1" customWidth="1"/>
    <col min="10" max="10" width="17" bestFit="1" customWidth="1"/>
  </cols>
  <sheetData>
    <row r="3" spans="2:10" x14ac:dyDescent="0.35">
      <c r="B3" s="7" t="s">
        <v>2</v>
      </c>
      <c r="C3" s="8" t="str" cm="1">
        <f t="array" ref="C3:H3">TRANSPOSE(Sales!C2:C7)</f>
        <v>Janet Murphy</v>
      </c>
      <c r="D3" s="8" t="str">
        <v>Janice Clark</v>
      </c>
      <c r="E3" s="8" t="str">
        <v>Charlotte Walker</v>
      </c>
      <c r="F3" s="8" t="str">
        <v>Hemant Shinde</v>
      </c>
      <c r="G3" s="8" t="str">
        <v>Doris Nguyen</v>
      </c>
      <c r="H3" s="8" t="str">
        <v>Keith Roberts</v>
      </c>
    </row>
    <row r="4" spans="2:10" x14ac:dyDescent="0.35">
      <c r="B4" s="7" t="s">
        <v>7</v>
      </c>
      <c r="C4" s="8" cm="1">
        <f t="array" ref="C4:H4">TRANSPOSE(Sales!H2:H7)</f>
        <v>36400</v>
      </c>
      <c r="D4" s="8">
        <v>33440</v>
      </c>
      <c r="E4" s="8">
        <v>26752</v>
      </c>
      <c r="F4" s="8">
        <v>26752</v>
      </c>
      <c r="G4" s="8">
        <v>33440</v>
      </c>
      <c r="H4" s="8">
        <v>20900</v>
      </c>
    </row>
    <row r="6" spans="2:10" ht="15.5" x14ac:dyDescent="0.35">
      <c r="J6" s="1" t="s">
        <v>13</v>
      </c>
    </row>
    <row r="7" spans="2:10" ht="15.5" x14ac:dyDescent="0.35">
      <c r="J7" s="1" t="s">
        <v>16</v>
      </c>
    </row>
  </sheetData>
  <conditionalFormatting sqref="J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{B1557057-6738-45C3-82D7-4E471167FFF2}</x14:id>
        </ext>
      </extLst>
    </cfRule>
  </conditionalFormatting>
  <conditionalFormatting sqref="J6:J7">
    <cfRule type="expression" dxfId="5" priority="2">
      <formula>$E6=#REF!</formula>
    </cfRule>
    <cfRule type="expression" dxfId="4" priority="3">
      <formula>$E6=#REF!</formula>
    </cfRule>
    <cfRule type="expression" dxfId="3" priority="4">
      <formula>$E6=#REF!</formula>
    </cfRule>
    <cfRule type="expression" dxfId="2" priority="5">
      <formula>$F6=#REF!</formula>
    </cfRule>
    <cfRule type="expression" dxfId="1" priority="6">
      <formula>$E6=#REF!</formula>
    </cfRule>
    <cfRule type="expression" dxfId="0" priority="7">
      <formula>$E6=#REF!</formula>
    </cfRule>
  </conditionalFormatting>
  <conditionalFormatting sqref="J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{3D60E455-D28E-4DB3-A035-1CB4094DF8B4}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557057-6738-45C3-82D7-4E471167FF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3D60E455-D28E-4DB3-A035-1CB4094D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Sheet1</vt:lpstr>
      <vt:lpstr>Question</vt:lpstr>
      <vt:lpstr>Index+Match</vt:lpstr>
      <vt:lpstr>Hlookup</vt:lpstr>
      <vt:lpstr>Vloopup</vt:lpstr>
      <vt:lpstr>Xlookup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Kambale</dc:creator>
  <cp:keywords/>
  <dc:description/>
  <cp:lastModifiedBy>MANOJ DHAGE</cp:lastModifiedBy>
  <cp:revision/>
  <dcterms:created xsi:type="dcterms:W3CDTF">2025-09-25T07:35:01Z</dcterms:created>
  <dcterms:modified xsi:type="dcterms:W3CDTF">2026-02-13T05:38:14Z</dcterms:modified>
  <cp:category/>
  <cp:contentStatus/>
</cp:coreProperties>
</file>