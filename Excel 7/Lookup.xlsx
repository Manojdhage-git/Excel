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8042a2d924d9f3/Desktop/upGrad/Excel/Day 7/"/>
    </mc:Choice>
  </mc:AlternateContent>
  <xr:revisionPtr revIDLastSave="182" documentId="8_{B9F59672-56A0-4D13-97AD-ADED1586FEA9}" xr6:coauthVersionLast="47" xr6:coauthVersionMax="47" xr10:uidLastSave="{334FF5D9-BB6A-488E-8EA0-5DAD91F51CD3}"/>
  <bookViews>
    <workbookView xWindow="-110" yWindow="-110" windowWidth="19420" windowHeight="11020" xr2:uid="{DD8A61CF-B685-4D11-884D-297F072A66CD}"/>
  </bookViews>
  <sheets>
    <sheet name="Sales" sheetId="1" r:id="rId1"/>
    <sheet name="Examples" sheetId="6" r:id="rId2"/>
    <sheet name="Hlookup" sheetId="3" r:id="rId3"/>
    <sheet name="Vloopup" sheetId="2" r:id="rId4"/>
    <sheet name="Index_Match" sheetId="5" r:id="rId5"/>
    <sheet name="Xlookup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6" l="1"/>
  <c r="C6" i="6" l="1"/>
  <c r="C5" i="6"/>
  <c r="C4" i="6"/>
  <c r="C3" i="6"/>
  <c r="C2" i="6"/>
  <c r="F23" i="6"/>
  <c r="F21" i="6"/>
  <c r="F20" i="6"/>
  <c r="C15" i="6"/>
  <c r="C14" i="6"/>
  <c r="C13" i="6"/>
  <c r="F4" i="6"/>
  <c r="F3" i="6"/>
  <c r="F2" i="6"/>
  <c r="J11" i="1"/>
  <c r="J28" i="1"/>
  <c r="E15" i="6"/>
  <c r="E14" i="6"/>
  <c r="E13" i="6"/>
  <c r="J27" i="1"/>
  <c r="J23" i="1"/>
  <c r="J19" i="1"/>
  <c r="J15" i="1"/>
  <c r="K16" i="3"/>
  <c r="L6" i="1"/>
  <c r="C4" i="4" a="1"/>
  <c r="C4" i="4" s="1"/>
  <c r="C3" i="4" a="1"/>
  <c r="C3" i="4" s="1"/>
  <c r="K8" i="3"/>
  <c r="K9" i="3"/>
  <c r="K10" i="3"/>
  <c r="K7" i="3"/>
  <c r="C5" i="3" a="1"/>
  <c r="C5" i="3" s="1"/>
  <c r="C4" i="3" a="1"/>
  <c r="C4" i="3" s="1"/>
  <c r="C3" i="3" a="1"/>
  <c r="C3" i="3" s="1"/>
  <c r="L3" i="1"/>
  <c r="L4" i="1"/>
  <c r="C5" i="2"/>
  <c r="C6" i="2"/>
  <c r="C7" i="2"/>
  <c r="C4" i="2"/>
  <c r="C3" i="2"/>
  <c r="L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<sst xmlns="http://schemas.openxmlformats.org/spreadsheetml/2006/main" count="199" uniqueCount="92">
  <si>
    <t>Order ID</t>
  </si>
  <si>
    <t>Due Date</t>
  </si>
  <si>
    <t>Name</t>
  </si>
  <si>
    <t>Gender</t>
  </si>
  <si>
    <t>Country</t>
  </si>
  <si>
    <t>Units</t>
  </si>
  <si>
    <t>Country_Units</t>
  </si>
  <si>
    <t>Revenue</t>
  </si>
  <si>
    <t>2/13/2024</t>
  </si>
  <si>
    <t>Janet Murphy</t>
  </si>
  <si>
    <t>Female</t>
  </si>
  <si>
    <t>FR</t>
  </si>
  <si>
    <t>2/23/2024</t>
  </si>
  <si>
    <t>Janice Clark</t>
  </si>
  <si>
    <t>IT</t>
  </si>
  <si>
    <t>2/14/2024</t>
  </si>
  <si>
    <t>Charlotte Walker</t>
  </si>
  <si>
    <t>Natalie Robinson</t>
  </si>
  <si>
    <t>Doris Nguyen</t>
  </si>
  <si>
    <t>Keith Roberts</t>
  </si>
  <si>
    <t>Male</t>
  </si>
  <si>
    <t>UK</t>
  </si>
  <si>
    <t>Kelly Jones</t>
  </si>
  <si>
    <t>JP</t>
  </si>
  <si>
    <t>Kennedi Singh</t>
  </si>
  <si>
    <t>ES</t>
  </si>
  <si>
    <t>Joseph Mitchell</t>
  </si>
  <si>
    <t>Steven Simpson</t>
  </si>
  <si>
    <t>US</t>
  </si>
  <si>
    <t>Kenneth Anderson</t>
  </si>
  <si>
    <t>5/14/2024</t>
  </si>
  <si>
    <t>Nicholas Gerrard</t>
  </si>
  <si>
    <t>Judith Lopez</t>
  </si>
  <si>
    <t>Hannah Garcia</t>
  </si>
  <si>
    <t>Marilyn Allen</t>
  </si>
  <si>
    <t>Brendan Walls</t>
  </si>
  <si>
    <t>Carolyn Muir</t>
  </si>
  <si>
    <t>2/27/2024</t>
  </si>
  <si>
    <t>Teresa Jarris</t>
  </si>
  <si>
    <t>2/22/2024</t>
  </si>
  <si>
    <t>Beverly Young</t>
  </si>
  <si>
    <t>Brittany Hill</t>
  </si>
  <si>
    <t>6/16/2024</t>
  </si>
  <si>
    <t>Christian Carter</t>
  </si>
  <si>
    <t>7/26/2024</t>
  </si>
  <si>
    <t>Gary Sinclair</t>
  </si>
  <si>
    <t>Ivan Hines</t>
  </si>
  <si>
    <t>4/17/2024</t>
  </si>
  <si>
    <t>Jonah Higgins</t>
  </si>
  <si>
    <t>Lucia Mckay</t>
  </si>
  <si>
    <t>Jaylynn Knapp</t>
  </si>
  <si>
    <t>2/17/2024</t>
  </si>
  <si>
    <t>Bryce Carpenter</t>
  </si>
  <si>
    <t>Michael Filson</t>
  </si>
  <si>
    <t>Thomas Clark</t>
  </si>
  <si>
    <t>2/20/2024</t>
  </si>
  <si>
    <t>=VLOOKUP(lookup_value, table_array, col_index_num, [range_lookup])</t>
  </si>
  <si>
    <t>=HLOOKUP(lookup_value, table_array, row_index_num, [range_lookup])</t>
  </si>
  <si>
    <t>Value</t>
  </si>
  <si>
    <t>Meaning</t>
  </si>
  <si>
    <t>Exact match</t>
  </si>
  <si>
    <t>Approximate match</t>
  </si>
  <si>
    <t>VLOOKUP searches vertically in the first column and returns data from another column.</t>
  </si>
  <si>
    <r>
      <rPr>
        <b/>
        <sz val="11"/>
        <color theme="1"/>
        <rFont val="Aptos Narrow"/>
        <family val="2"/>
        <scheme val="minor"/>
      </rPr>
      <t>lookup_value</t>
    </r>
    <r>
      <rPr>
        <sz val="11"/>
        <color theme="1"/>
        <rFont val="Aptos Narrow"/>
        <family val="2"/>
        <scheme val="minor"/>
      </rPr>
      <t xml:space="preserve"> = Find this = The value you want to search for.</t>
    </r>
  </si>
  <si>
    <r>
      <rPr>
        <b/>
        <sz val="11"/>
        <color theme="1"/>
        <rFont val="Aptos Narrow"/>
        <family val="2"/>
        <scheme val="minor"/>
      </rPr>
      <t>table_array</t>
    </r>
    <r>
      <rPr>
        <sz val="11"/>
        <color theme="1"/>
        <rFont val="Aptos Narrow"/>
        <family val="2"/>
        <scheme val="minor"/>
      </rPr>
      <t xml:space="preserve"> = in this table = The full data range where Excel will search.</t>
    </r>
  </si>
  <si>
    <r>
      <rPr>
        <b/>
        <sz val="11"/>
        <color theme="1"/>
        <rFont val="Aptos Narrow"/>
        <family val="2"/>
        <scheme val="minor"/>
      </rPr>
      <t>col_index_num</t>
    </r>
    <r>
      <rPr>
        <sz val="11"/>
        <color theme="1"/>
        <rFont val="Aptos Narrow"/>
        <family val="2"/>
        <scheme val="minor"/>
      </rPr>
      <t xml:space="preserve"> = return from this column = The column number from which to return the result.</t>
    </r>
  </si>
  <si>
    <r>
      <rPr>
        <b/>
        <sz val="11"/>
        <color theme="1"/>
        <rFont val="Aptos Narrow"/>
        <family val="2"/>
        <scheme val="minor"/>
      </rPr>
      <t xml:space="preserve">(range_lookup)Match </t>
    </r>
    <r>
      <rPr>
        <sz val="11"/>
        <color theme="1"/>
        <rFont val="Aptos Narrow"/>
        <family val="2"/>
        <scheme val="minor"/>
      </rPr>
      <t>= using this match type = Tells Excel how to match the value</t>
    </r>
  </si>
  <si>
    <t>HLOOKUP searches across the first row and returns data from another row.</t>
  </si>
  <si>
    <t>HLOOKUP</t>
  </si>
  <si>
    <t>VLOOKUP</t>
  </si>
  <si>
    <t>Horizontal search</t>
  </si>
  <si>
    <t>Vertical search</t>
  </si>
  <si>
    <r>
      <t xml:space="preserve">Using </t>
    </r>
    <r>
      <rPr>
        <b/>
        <sz val="11"/>
        <color theme="1"/>
        <rFont val="Aptos Narrow"/>
        <family val="2"/>
        <scheme val="minor"/>
      </rPr>
      <t>Order ID 10507</t>
    </r>
    <r>
      <rPr>
        <sz val="11"/>
        <color theme="1"/>
        <rFont val="Aptos Narrow"/>
        <family val="2"/>
        <scheme val="minor"/>
      </rPr>
      <t xml:space="preserve">, find the </t>
    </r>
    <r>
      <rPr>
        <b/>
        <sz val="11"/>
        <color theme="1"/>
        <rFont val="Aptos Narrow"/>
        <family val="2"/>
        <scheme val="minor"/>
      </rPr>
      <t>Revenue</t>
    </r>
    <r>
      <rPr>
        <sz val="11"/>
        <color theme="1"/>
        <rFont val="Aptos Narrow"/>
        <family val="2"/>
        <scheme val="minor"/>
      </rPr>
      <t>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</si>
  <si>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Name</t>
    </r>
    <r>
      <rPr>
        <sz val="11"/>
        <color theme="1"/>
        <rFont val="Aptos Narrow"/>
        <family val="2"/>
        <scheme val="minor"/>
      </rPr>
      <t xml:space="preserve"> of the customer whose </t>
    </r>
    <r>
      <rPr>
        <b/>
        <sz val="11"/>
        <color theme="1"/>
        <rFont val="Aptos Narrow"/>
        <family val="2"/>
        <scheme val="minor"/>
      </rPr>
      <t>Order ID is 10486</t>
    </r>
    <r>
      <rPr>
        <sz val="11"/>
        <color theme="1"/>
        <rFont val="Aptos Narrow"/>
        <family val="2"/>
        <scheme val="minor"/>
      </rPr>
      <t>.</t>
    </r>
  </si>
  <si>
    <t>Using Order ID 10546, fetch the Country.</t>
  </si>
  <si>
    <r>
      <t xml:space="preserve">Using </t>
    </r>
    <r>
      <rPr>
        <b/>
        <sz val="11"/>
        <color theme="1"/>
        <rFont val="Aptos Narrow"/>
        <family val="2"/>
        <scheme val="minor"/>
      </rPr>
      <t>Order ID 10523</t>
    </r>
    <r>
      <rPr>
        <sz val="11"/>
        <color theme="1"/>
        <rFont val="Aptos Narrow"/>
        <family val="2"/>
        <scheme val="minor"/>
      </rPr>
      <t xml:space="preserve">, return the </t>
    </r>
    <r>
      <rPr>
        <b/>
        <sz val="11"/>
        <color theme="1"/>
        <rFont val="Aptos Narrow"/>
        <family val="2"/>
        <scheme val="minor"/>
      </rPr>
      <t>Country_Units</t>
    </r>
    <r>
      <rPr>
        <sz val="11"/>
        <color theme="1"/>
        <rFont val="Aptos Narrow"/>
        <family val="2"/>
        <scheme val="minor"/>
      </rPr>
      <t xml:space="preserve"> value.</t>
    </r>
  </si>
  <si>
    <r>
      <t xml:space="preserve">find </t>
    </r>
    <r>
      <rPr>
        <b/>
        <sz val="11"/>
        <color theme="1"/>
        <rFont val="Aptos Narrow"/>
        <family val="2"/>
        <scheme val="minor"/>
      </rPr>
      <t>Units</t>
    </r>
    <r>
      <rPr>
        <sz val="11"/>
        <color theme="1"/>
        <rFont val="Aptos Narrow"/>
        <family val="2"/>
        <scheme val="minor"/>
      </rPr>
      <t xml:space="preserve"> for </t>
    </r>
    <r>
      <rPr>
        <b/>
        <sz val="11"/>
        <color theme="1"/>
        <rFont val="Aptos Narrow"/>
        <family val="2"/>
        <scheme val="minor"/>
      </rPr>
      <t>Order ID 99999</t>
    </r>
    <r>
      <rPr>
        <sz val="11"/>
        <color theme="1"/>
        <rFont val="Aptos Narrow"/>
        <family val="2"/>
        <scheme val="minor"/>
      </rPr>
      <t>.</t>
    </r>
  </si>
  <si>
    <r>
      <t xml:space="preserve">Using </t>
    </r>
    <r>
      <rPr>
        <b/>
        <sz val="11"/>
        <color theme="1"/>
        <rFont val="Aptos Narrow"/>
        <family val="2"/>
        <scheme val="minor"/>
      </rPr>
      <t>Order ID 10507</t>
    </r>
    <r>
      <rPr>
        <sz val="11"/>
        <color theme="1"/>
        <rFont val="Aptos Narrow"/>
        <family val="2"/>
        <scheme val="minor"/>
      </rPr>
      <t xml:space="preserve">, find the </t>
    </r>
    <r>
      <rPr>
        <b/>
        <sz val="11"/>
        <color theme="1"/>
        <rFont val="Aptos Narrow"/>
        <family val="2"/>
        <scheme val="minor"/>
      </rPr>
      <t>Revenue</t>
    </r>
    <r>
      <rPr>
        <sz val="11"/>
        <color theme="1"/>
        <rFont val="Aptos Narrow"/>
        <family val="2"/>
        <scheme val="minor"/>
      </rPr>
      <t xml:space="preserve"> using HLOOKUP.</t>
    </r>
  </si>
  <si>
    <r>
      <t xml:space="preserve">Find the </t>
    </r>
    <r>
      <rPr>
        <b/>
        <sz val="11"/>
        <color theme="1"/>
        <rFont val="Aptos Narrow"/>
        <family val="2"/>
        <scheme val="minor"/>
      </rPr>
      <t>Country</t>
    </r>
    <r>
      <rPr>
        <sz val="11"/>
        <color theme="1"/>
        <rFont val="Aptos Narrow"/>
        <family val="2"/>
        <scheme val="minor"/>
      </rPr>
      <t xml:space="preserve"> for </t>
    </r>
    <r>
      <rPr>
        <b/>
        <sz val="11"/>
        <color theme="1"/>
        <rFont val="Aptos Narrow"/>
        <family val="2"/>
        <scheme val="minor"/>
      </rPr>
      <t>Order ID 10534</t>
    </r>
    <r>
      <rPr>
        <sz val="11"/>
        <color theme="1"/>
        <rFont val="Aptos Narrow"/>
        <family val="2"/>
        <scheme val="minor"/>
      </rPr>
      <t>.</t>
    </r>
  </si>
  <si>
    <t>Using HLOOKUP, fetch Units for Order ID 10537.</t>
  </si>
  <si>
    <t>order id</t>
  </si>
  <si>
    <t>ans</t>
  </si>
  <si>
    <t>Find the Name of the customer whose Order ID is 10486.</t>
  </si>
  <si>
    <t>Using Order ID 10507, find the Revenue.</t>
  </si>
  <si>
    <t>Xlookup</t>
  </si>
  <si>
    <t>Find the Order ID for Customer Name = "Janet Murphy"</t>
  </si>
  <si>
    <t>Find Units for Order ID = 99999</t>
  </si>
  <si>
    <t>If not found, show "Order Not Available"</t>
  </si>
  <si>
    <t>Find the Revenue for Order ID = 10523</t>
  </si>
  <si>
    <t>Order ID = 10478 appears twice.</t>
  </si>
  <si>
    <t>Find the Units from the latest entry</t>
  </si>
  <si>
    <t>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</si>
</sst>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sz val="12"/>
      <name val="Calibri"/>
      <family val="2"/>
    </font>
    <font>
      <b/>
      <sz val="11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 textRotation="24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0" fontId="0" fillId="3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3" borderId="2" xfId="0" applyFill="1" applyBorder="1"/>
    <xf numFmtId="0" fontId="0" fillId="3" borderId="1" xfId="0" applyFill="1" applyBorder="1"/>
    <xf numFmtId="0" fontId="0" fillId="0" borderId="1" xfId="0" applyBorder="1"/>
    <xf numFmtId="0" fontId="3" fillId="0" borderId="0" xfId="0" applyFont="1" applyAlignment="1">
      <alignment horizontal="left" vertical="center" indent="1"/>
    </xf>
    <xf numFmtId="0" fontId="0" fillId="3" borderId="2" xfId="0" quotePrefix="1" applyFill="1" applyBorder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1" xfId="0" applyFont="1" applyBorder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vertical="top"/>
    </xf>
    <xf numFmtId="0" fontId="5" fillId="0" borderId="0" xfId="0" applyFont="1" applyAlignment="1">
      <alignment wrapText="1"/>
    </xf>
    <xf numFmtId="0" fontId="5" fillId="0" borderId="0" xfId="0" applyFont="1" applyAlignment="1">
      <alignment vertical="top"/>
    </xf>
  </cellXfs>
  <cellStyles count="1">
    <cellStyle name="Normal" xfId="0" builtinId="0"/>
  </cellStyles>
  <dxfs count="70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none"/>
      </font>
      <fill>
        <patternFill patternType="solid">
          <fgColor rgb="FF000000"/>
          <bgColor rgb="FF4472C4"/>
        </patternFill>
      </fill>
      <alignment horizontal="center" vertical="center" textRotation="24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6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35FCC8-86E9-48A7-B419-862960704B5A}" name="Table1" displayName="Table1" ref="A1:H31" totalsRowShown="0" headerRowDxfId="0" dataDxfId="1">
  <autoFilter ref="A1:H31" xr:uid="{4A35FCC8-86E9-48A7-B419-862960704B5A}"/>
  <tableColumns count="8">
    <tableColumn id="1" xr3:uid="{8731F807-0553-4561-BAA8-234D67071D1B}" name="Order ID" dataDxfId="9"/>
    <tableColumn id="2" xr3:uid="{08B87C3F-7453-4B34-9965-051FBC4DC2B4}" name="Due Date" dataDxfId="8"/>
    <tableColumn id="3" xr3:uid="{F0CB7C15-563C-49F3-A1A0-C7B8611222AB}" name="Name" dataDxfId="7"/>
    <tableColumn id="4" xr3:uid="{922823EF-E3B7-4EB2-93D7-A56660A55525}" name="Gender" dataDxfId="6"/>
    <tableColumn id="5" xr3:uid="{7E223025-123C-4F14-9960-88909AC8AA85}" name="Country" dataDxfId="5"/>
    <tableColumn id="6" xr3:uid="{DE080057-98F2-4487-8588-B2AC7B4DD69F}" name="Units" dataDxfId="4"/>
    <tableColumn id="7" xr3:uid="{FCD7532A-4355-4D3B-805F-113E75B7FEC7}" name="Country_Units" dataDxfId="3">
      <calculatedColumnFormula>_xlfn.CONCAT(E2,F2)</calculatedColumnFormula>
    </tableColumn>
    <tableColumn id="8" xr3:uid="{9ABDAC9E-8555-4BE4-9D07-D71DED615FE7}" name="Revenue" dataDxfId="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277EB-578C-4E5D-B71F-726DFAABEFFB}">
  <dimension ref="A1:M31"/>
  <sheetViews>
    <sheetView tabSelected="1" zoomScale="110" zoomScaleNormal="110" workbookViewId="0">
      <selection activeCell="J4" sqref="J4"/>
    </sheetView>
  </sheetViews>
  <sheetFormatPr defaultRowHeight="14.5" x14ac:dyDescent="0.35"/>
  <cols>
    <col min="1" max="1" width="10.1796875" customWidth="1"/>
    <col min="2" max="2" width="11.1796875" bestFit="1" customWidth="1"/>
    <col min="3" max="3" width="18.54296875" bestFit="1" customWidth="1"/>
    <col min="4" max="4" width="9.1796875" customWidth="1"/>
    <col min="5" max="5" width="9.6328125" customWidth="1"/>
    <col min="6" max="6" width="7.1796875" customWidth="1"/>
    <col min="7" max="7" width="15.36328125" customWidth="1"/>
    <col min="8" max="8" width="10.36328125" customWidth="1"/>
    <col min="11" max="11" width="13.90625" bestFit="1" customWidth="1"/>
    <col min="13" max="13" width="17.1796875" bestFit="1" customWidth="1"/>
  </cols>
  <sheetData>
    <row r="1" spans="1:13" ht="4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3" ht="15.5" x14ac:dyDescent="0.35">
      <c r="A2" s="2">
        <v>10507</v>
      </c>
      <c r="B2" s="3" t="s">
        <v>8</v>
      </c>
      <c r="C2" s="4" t="s">
        <v>9</v>
      </c>
      <c r="D2" s="2" t="s">
        <v>10</v>
      </c>
      <c r="E2" s="2" t="s">
        <v>11</v>
      </c>
      <c r="F2" s="2">
        <v>91</v>
      </c>
      <c r="G2" s="2" t="str">
        <f>_xlfn.CONCAT(E2,F2)</f>
        <v>FR91</v>
      </c>
      <c r="H2" s="5">
        <v>36400</v>
      </c>
      <c r="K2" s="4" t="s">
        <v>9</v>
      </c>
      <c r="L2">
        <f>VLOOKUP(K2,$C$1:$H$31,6,FALSE)</f>
        <v>36400</v>
      </c>
    </row>
    <row r="3" spans="1:13" ht="15.5" x14ac:dyDescent="0.35">
      <c r="A3" s="2">
        <v>10534</v>
      </c>
      <c r="B3" s="3" t="s">
        <v>12</v>
      </c>
      <c r="C3" s="4" t="s">
        <v>13</v>
      </c>
      <c r="D3" s="2" t="s">
        <v>10</v>
      </c>
      <c r="E3" s="2" t="s">
        <v>14</v>
      </c>
      <c r="F3" s="2">
        <v>84</v>
      </c>
      <c r="G3" s="2" t="str">
        <f t="shared" ref="G3:G31" si="0">_xlfn.CONCAT(E3,F3)</f>
        <v>IT84</v>
      </c>
      <c r="H3" s="5">
        <v>33440</v>
      </c>
      <c r="K3" s="4" t="s">
        <v>13</v>
      </c>
      <c r="L3">
        <f t="shared" ref="L3:L4" si="1">VLOOKUP(K3,$C$1:$H$31,6,FALSE)</f>
        <v>33440</v>
      </c>
    </row>
    <row r="4" spans="1:13" ht="15.5" x14ac:dyDescent="0.35">
      <c r="A4" s="2">
        <v>10537</v>
      </c>
      <c r="B4" s="3" t="s">
        <v>15</v>
      </c>
      <c r="C4" s="4" t="s">
        <v>16</v>
      </c>
      <c r="D4" s="2" t="s">
        <v>10</v>
      </c>
      <c r="E4" s="2" t="s">
        <v>11</v>
      </c>
      <c r="F4" s="2">
        <v>84</v>
      </c>
      <c r="G4" s="2" t="str">
        <f t="shared" si="0"/>
        <v>FR84</v>
      </c>
      <c r="H4" s="5">
        <v>26752</v>
      </c>
      <c r="K4" s="4" t="s">
        <v>22</v>
      </c>
      <c r="L4">
        <f t="shared" si="1"/>
        <v>26240</v>
      </c>
    </row>
    <row r="5" spans="1:13" ht="15.5" x14ac:dyDescent="0.35">
      <c r="A5" s="2">
        <v>10538</v>
      </c>
      <c r="B5" s="3" t="s">
        <v>15</v>
      </c>
      <c r="C5" s="4" t="s">
        <v>17</v>
      </c>
      <c r="D5" s="2" t="s">
        <v>10</v>
      </c>
      <c r="E5" s="2" t="s">
        <v>11</v>
      </c>
      <c r="F5" s="2">
        <v>84</v>
      </c>
      <c r="G5" s="2" t="str">
        <f t="shared" si="0"/>
        <v>FR84</v>
      </c>
      <c r="H5" s="5">
        <v>26752</v>
      </c>
    </row>
    <row r="6" spans="1:13" ht="15.5" x14ac:dyDescent="0.35">
      <c r="A6" s="2">
        <v>10542</v>
      </c>
      <c r="B6" s="3" t="s">
        <v>15</v>
      </c>
      <c r="C6" s="4" t="s">
        <v>18</v>
      </c>
      <c r="D6" s="2" t="s">
        <v>10</v>
      </c>
      <c r="E6" s="2" t="s">
        <v>14</v>
      </c>
      <c r="F6" s="2">
        <v>84</v>
      </c>
      <c r="G6" s="2" t="str">
        <f t="shared" si="0"/>
        <v>IT84</v>
      </c>
      <c r="H6" s="5">
        <v>33440</v>
      </c>
      <c r="K6" s="4" t="s">
        <v>22</v>
      </c>
      <c r="L6">
        <f>VLOOKUP(K6,C1:H31,6,FALSE)</f>
        <v>26240</v>
      </c>
    </row>
    <row r="7" spans="1:13" ht="15.5" x14ac:dyDescent="0.35">
      <c r="A7" s="2">
        <v>105406</v>
      </c>
      <c r="B7" s="3">
        <v>45415</v>
      </c>
      <c r="C7" s="4" t="s">
        <v>19</v>
      </c>
      <c r="D7" s="2" t="s">
        <v>20</v>
      </c>
      <c r="E7" s="2" t="s">
        <v>21</v>
      </c>
      <c r="F7" s="2">
        <v>84</v>
      </c>
      <c r="G7" s="2" t="str">
        <f t="shared" si="0"/>
        <v>UK84</v>
      </c>
      <c r="H7" s="5">
        <v>20900</v>
      </c>
    </row>
    <row r="8" spans="1:13" ht="15.5" x14ac:dyDescent="0.35">
      <c r="A8" s="2">
        <v>10485</v>
      </c>
      <c r="B8" s="3">
        <v>45415</v>
      </c>
      <c r="C8" s="4" t="s">
        <v>22</v>
      </c>
      <c r="D8" s="2" t="s">
        <v>10</v>
      </c>
      <c r="E8" s="2" t="s">
        <v>23</v>
      </c>
      <c r="F8" s="2">
        <v>82</v>
      </c>
      <c r="G8" s="2" t="str">
        <f t="shared" si="0"/>
        <v>JP82</v>
      </c>
      <c r="H8" s="5">
        <v>26240</v>
      </c>
      <c r="M8" s="4"/>
    </row>
    <row r="9" spans="1:13" ht="16" x14ac:dyDescent="0.4">
      <c r="A9" s="2">
        <v>10453</v>
      </c>
      <c r="B9" s="3">
        <v>45415</v>
      </c>
      <c r="C9" s="4" t="s">
        <v>24</v>
      </c>
      <c r="D9" s="2" t="s">
        <v>20</v>
      </c>
      <c r="E9" s="2" t="s">
        <v>25</v>
      </c>
      <c r="F9" s="2">
        <v>80</v>
      </c>
      <c r="G9" s="2" t="str">
        <f t="shared" si="0"/>
        <v>ES80</v>
      </c>
      <c r="H9" s="5">
        <v>20000</v>
      </c>
      <c r="I9" s="21"/>
      <c r="J9" s="23" t="s">
        <v>83</v>
      </c>
      <c r="K9" s="23"/>
      <c r="L9" s="23"/>
      <c r="M9" s="23"/>
    </row>
    <row r="10" spans="1:13" ht="16" x14ac:dyDescent="0.4">
      <c r="A10" s="2">
        <v>10477</v>
      </c>
      <c r="B10" s="3">
        <v>45415</v>
      </c>
      <c r="C10" s="4" t="s">
        <v>26</v>
      </c>
      <c r="D10" s="2" t="s">
        <v>20</v>
      </c>
      <c r="E10" s="2" t="s">
        <v>11</v>
      </c>
      <c r="F10" s="2">
        <v>80</v>
      </c>
      <c r="G10" s="2" t="str">
        <f t="shared" si="0"/>
        <v>FR80</v>
      </c>
      <c r="H10" s="5">
        <v>12000</v>
      </c>
      <c r="I10" s="21"/>
      <c r="J10">
        <v>10507</v>
      </c>
    </row>
    <row r="11" spans="1:13" ht="16" x14ac:dyDescent="0.4">
      <c r="A11" s="2">
        <v>10486</v>
      </c>
      <c r="B11" s="3">
        <v>45357</v>
      </c>
      <c r="C11" s="4" t="s">
        <v>27</v>
      </c>
      <c r="D11" s="2" t="s">
        <v>20</v>
      </c>
      <c r="E11" s="2" t="s">
        <v>28</v>
      </c>
      <c r="F11" s="2">
        <v>80</v>
      </c>
      <c r="G11" s="2" t="str">
        <f t="shared" si="0"/>
        <v>US80</v>
      </c>
      <c r="H11" s="5">
        <v>12000</v>
      </c>
      <c r="I11" s="21" t="s">
        <v>81</v>
      </c>
      <c r="J11" s="22">
        <f>VLOOKUP($J$10,$A$1:$H$31,8,FALSE)</f>
        <v>36400</v>
      </c>
    </row>
    <row r="12" spans="1:13" ht="16" x14ac:dyDescent="0.4">
      <c r="A12" s="2">
        <v>10490</v>
      </c>
      <c r="B12" s="3" t="s">
        <v>15</v>
      </c>
      <c r="C12" s="4" t="s">
        <v>29</v>
      </c>
      <c r="D12" s="2" t="s">
        <v>20</v>
      </c>
      <c r="E12" s="2" t="s">
        <v>23</v>
      </c>
      <c r="F12" s="2">
        <v>80</v>
      </c>
      <c r="G12" s="2" t="str">
        <f t="shared" si="0"/>
        <v>JP80</v>
      </c>
      <c r="H12" s="5">
        <v>12000</v>
      </c>
      <c r="I12" s="21"/>
    </row>
    <row r="13" spans="1:13" ht="16" x14ac:dyDescent="0.4">
      <c r="A13" s="2">
        <v>10502</v>
      </c>
      <c r="B13" s="3" t="s">
        <v>30</v>
      </c>
      <c r="C13" s="4" t="s">
        <v>31</v>
      </c>
      <c r="D13" s="2" t="s">
        <v>20</v>
      </c>
      <c r="E13" s="2" t="s">
        <v>25</v>
      </c>
      <c r="F13" s="2">
        <v>80</v>
      </c>
      <c r="G13" s="2" t="str">
        <f t="shared" si="0"/>
        <v>ES80</v>
      </c>
      <c r="H13" s="5">
        <v>25600</v>
      </c>
      <c r="I13" s="21"/>
      <c r="J13" s="23" t="s">
        <v>82</v>
      </c>
      <c r="K13" s="23"/>
      <c r="L13" s="23"/>
      <c r="M13" s="23"/>
    </row>
    <row r="14" spans="1:13" ht="16" x14ac:dyDescent="0.4">
      <c r="A14" s="2">
        <v>10523</v>
      </c>
      <c r="B14" s="3">
        <v>45634</v>
      </c>
      <c r="C14" s="4" t="s">
        <v>32</v>
      </c>
      <c r="D14" s="2" t="s">
        <v>10</v>
      </c>
      <c r="E14" s="2" t="s">
        <v>23</v>
      </c>
      <c r="F14" s="2">
        <v>80</v>
      </c>
      <c r="G14" s="2" t="str">
        <f t="shared" si="0"/>
        <v>JP80</v>
      </c>
      <c r="H14" s="5">
        <v>32000</v>
      </c>
      <c r="I14" s="21"/>
      <c r="J14">
        <v>10486</v>
      </c>
    </row>
    <row r="15" spans="1:13" ht="16" x14ac:dyDescent="0.4">
      <c r="A15" s="2">
        <v>10525</v>
      </c>
      <c r="B15" s="3">
        <v>45576</v>
      </c>
      <c r="C15" s="4" t="s">
        <v>33</v>
      </c>
      <c r="D15" s="2" t="s">
        <v>10</v>
      </c>
      <c r="E15" s="2" t="s">
        <v>25</v>
      </c>
      <c r="F15" s="2">
        <v>80</v>
      </c>
      <c r="G15" s="2" t="str">
        <f t="shared" si="0"/>
        <v>ES80</v>
      </c>
      <c r="H15" s="5">
        <v>25536</v>
      </c>
      <c r="I15" s="21" t="s">
        <v>81</v>
      </c>
      <c r="J15" s="24" t="str">
        <f>VLOOKUP(J14,A1:H31,3,FALSE)</f>
        <v>Steven Simpson</v>
      </c>
      <c r="K15" s="24"/>
    </row>
    <row r="16" spans="1:13" ht="16" x14ac:dyDescent="0.4">
      <c r="A16" s="2">
        <v>10535</v>
      </c>
      <c r="B16" s="3">
        <v>45871</v>
      </c>
      <c r="C16" s="4" t="s">
        <v>34</v>
      </c>
      <c r="D16" s="2" t="s">
        <v>10</v>
      </c>
      <c r="E16" s="2" t="s">
        <v>14</v>
      </c>
      <c r="F16" s="2">
        <v>80</v>
      </c>
      <c r="G16" s="2" t="str">
        <f t="shared" si="0"/>
        <v>IT80</v>
      </c>
      <c r="H16" s="5">
        <v>31840</v>
      </c>
      <c r="I16" s="21"/>
    </row>
    <row r="17" spans="1:13" ht="16" x14ac:dyDescent="0.4">
      <c r="A17" s="2">
        <v>10461</v>
      </c>
      <c r="B17" s="3">
        <v>45905</v>
      </c>
      <c r="C17" s="4" t="s">
        <v>35</v>
      </c>
      <c r="D17" s="2" t="s">
        <v>20</v>
      </c>
      <c r="E17" s="2" t="s">
        <v>23</v>
      </c>
      <c r="F17" s="2">
        <v>76</v>
      </c>
      <c r="G17" s="2" t="str">
        <f t="shared" si="0"/>
        <v>JP76</v>
      </c>
      <c r="H17" s="5">
        <v>30400</v>
      </c>
      <c r="I17" s="21"/>
      <c r="J17" s="23" t="s">
        <v>74</v>
      </c>
      <c r="K17" s="23"/>
      <c r="L17" s="23"/>
      <c r="M17" s="23"/>
    </row>
    <row r="18" spans="1:13" ht="16" x14ac:dyDescent="0.4">
      <c r="A18" s="2">
        <v>10506</v>
      </c>
      <c r="B18" s="3">
        <v>45846</v>
      </c>
      <c r="C18" s="4" t="s">
        <v>36</v>
      </c>
      <c r="D18" s="2" t="s">
        <v>10</v>
      </c>
      <c r="E18" s="2" t="s">
        <v>11</v>
      </c>
      <c r="F18" s="2">
        <v>76</v>
      </c>
      <c r="G18" s="2" t="str">
        <f t="shared" si="0"/>
        <v>FR76</v>
      </c>
      <c r="H18" s="5">
        <v>11400</v>
      </c>
      <c r="I18" s="21"/>
      <c r="J18">
        <v>10546</v>
      </c>
    </row>
    <row r="19" spans="1:13" ht="16" x14ac:dyDescent="0.4">
      <c r="A19" s="2">
        <v>10531</v>
      </c>
      <c r="B19" s="3" t="s">
        <v>37</v>
      </c>
      <c r="C19" s="4" t="s">
        <v>38</v>
      </c>
      <c r="D19" s="2" t="s">
        <v>10</v>
      </c>
      <c r="E19" s="2" t="s">
        <v>14</v>
      </c>
      <c r="F19" s="2">
        <v>76</v>
      </c>
      <c r="G19" s="2" t="str">
        <f t="shared" si="0"/>
        <v>IT76</v>
      </c>
      <c r="H19" s="5">
        <v>30400</v>
      </c>
      <c r="I19" s="21" t="s">
        <v>81</v>
      </c>
      <c r="J19" s="22" t="str">
        <f>VLOOKUP(J18,A1:H31,5,FALSE)</f>
        <v>JP</v>
      </c>
    </row>
    <row r="20" spans="1:13" ht="16" x14ac:dyDescent="0.4">
      <c r="A20" s="2">
        <v>10536</v>
      </c>
      <c r="B20" s="3" t="s">
        <v>39</v>
      </c>
      <c r="C20" s="4" t="s">
        <v>40</v>
      </c>
      <c r="D20" s="2" t="s">
        <v>10</v>
      </c>
      <c r="E20" s="2" t="s">
        <v>11</v>
      </c>
      <c r="F20" s="2">
        <v>76</v>
      </c>
      <c r="G20" s="2" t="str">
        <f t="shared" si="0"/>
        <v>FR76</v>
      </c>
      <c r="H20" s="5">
        <v>11400</v>
      </c>
      <c r="I20" s="21"/>
    </row>
    <row r="21" spans="1:13" ht="16" x14ac:dyDescent="0.4">
      <c r="A21" s="2">
        <v>10541</v>
      </c>
      <c r="B21" s="3">
        <v>45420</v>
      </c>
      <c r="C21" s="4" t="s">
        <v>41</v>
      </c>
      <c r="D21" s="2" t="s">
        <v>10</v>
      </c>
      <c r="E21" s="2" t="s">
        <v>14</v>
      </c>
      <c r="F21" s="2">
        <v>76</v>
      </c>
      <c r="G21" s="2" t="str">
        <f t="shared" si="0"/>
        <v>IT76</v>
      </c>
      <c r="H21" s="5">
        <v>24320</v>
      </c>
      <c r="I21" s="21"/>
      <c r="J21" s="23" t="s">
        <v>75</v>
      </c>
      <c r="K21" s="23"/>
      <c r="L21" s="23"/>
      <c r="M21" s="23"/>
    </row>
    <row r="22" spans="1:13" ht="16" x14ac:dyDescent="0.4">
      <c r="A22" s="2">
        <v>10546</v>
      </c>
      <c r="B22" s="3" t="s">
        <v>42</v>
      </c>
      <c r="C22" s="4" t="s">
        <v>43</v>
      </c>
      <c r="D22" s="2" t="s">
        <v>20</v>
      </c>
      <c r="E22" s="2" t="s">
        <v>23</v>
      </c>
      <c r="F22" s="2">
        <v>76</v>
      </c>
      <c r="G22" s="2" t="str">
        <f t="shared" si="0"/>
        <v>JP76</v>
      </c>
      <c r="H22" s="5">
        <v>24320</v>
      </c>
      <c r="I22" s="21"/>
      <c r="J22">
        <v>10523</v>
      </c>
    </row>
    <row r="23" spans="1:13" ht="16" x14ac:dyDescent="0.4">
      <c r="A23" s="2">
        <v>10501</v>
      </c>
      <c r="B23" s="3" t="s">
        <v>44</v>
      </c>
      <c r="C23" s="4" t="s">
        <v>45</v>
      </c>
      <c r="D23" s="2" t="s">
        <v>20</v>
      </c>
      <c r="E23" s="2" t="s">
        <v>25</v>
      </c>
      <c r="F23" s="2">
        <v>76</v>
      </c>
      <c r="G23" s="2" t="str">
        <f t="shared" si="0"/>
        <v>ES76</v>
      </c>
      <c r="H23" s="5">
        <v>24320</v>
      </c>
      <c r="I23" s="21" t="s">
        <v>81</v>
      </c>
      <c r="J23" s="22" t="str">
        <f>VLOOKUP(J22,A1:H31,7,FALSE)</f>
        <v>JP80</v>
      </c>
    </row>
    <row r="24" spans="1:13" ht="16" x14ac:dyDescent="0.4">
      <c r="A24" s="2">
        <v>10456</v>
      </c>
      <c r="B24" s="3">
        <v>45449</v>
      </c>
      <c r="C24" s="4" t="s">
        <v>46</v>
      </c>
      <c r="D24" s="2" t="s">
        <v>20</v>
      </c>
      <c r="E24" s="2" t="s">
        <v>28</v>
      </c>
      <c r="F24" s="2">
        <v>75</v>
      </c>
      <c r="G24" s="2" t="str">
        <f t="shared" si="0"/>
        <v>US75</v>
      </c>
      <c r="H24" s="5">
        <v>24000</v>
      </c>
      <c r="I24" s="21"/>
    </row>
    <row r="25" spans="1:13" ht="16" x14ac:dyDescent="0.4">
      <c r="A25" s="2">
        <v>10457</v>
      </c>
      <c r="B25" s="3" t="s">
        <v>47</v>
      </c>
      <c r="C25" s="4" t="s">
        <v>48</v>
      </c>
      <c r="D25" s="2" t="s">
        <v>20</v>
      </c>
      <c r="E25" s="2" t="s">
        <v>28</v>
      </c>
      <c r="F25" s="2">
        <v>75</v>
      </c>
      <c r="G25" s="2" t="str">
        <f t="shared" si="0"/>
        <v>US75</v>
      </c>
      <c r="H25" s="5">
        <v>30000</v>
      </c>
      <c r="I25" s="21"/>
      <c r="J25" s="23" t="s">
        <v>76</v>
      </c>
      <c r="K25" s="23"/>
      <c r="L25" s="23"/>
      <c r="M25" s="23"/>
    </row>
    <row r="26" spans="1:13" ht="16" x14ac:dyDescent="0.4">
      <c r="A26" s="2">
        <v>10463</v>
      </c>
      <c r="B26" s="3" t="s">
        <v>37</v>
      </c>
      <c r="C26" s="4" t="s">
        <v>49</v>
      </c>
      <c r="D26" s="2" t="s">
        <v>10</v>
      </c>
      <c r="E26" s="2" t="s">
        <v>23</v>
      </c>
      <c r="F26" s="2">
        <v>75</v>
      </c>
      <c r="G26" s="2" t="str">
        <f t="shared" si="0"/>
        <v>JP75</v>
      </c>
      <c r="H26" s="5">
        <v>11250</v>
      </c>
      <c r="I26" s="21"/>
      <c r="J26">
        <v>99999</v>
      </c>
    </row>
    <row r="27" spans="1:13" ht="16" x14ac:dyDescent="0.4">
      <c r="A27" s="2">
        <v>10468</v>
      </c>
      <c r="B27" s="3" t="s">
        <v>39</v>
      </c>
      <c r="C27" s="4" t="s">
        <v>50</v>
      </c>
      <c r="D27" s="2" t="s">
        <v>10</v>
      </c>
      <c r="E27" s="2" t="s">
        <v>11</v>
      </c>
      <c r="F27" s="2">
        <v>75</v>
      </c>
      <c r="G27" s="2" t="str">
        <f t="shared" si="0"/>
        <v>FR75</v>
      </c>
      <c r="H27" s="5">
        <v>11250</v>
      </c>
      <c r="I27" s="21" t="s">
        <v>81</v>
      </c>
      <c r="J27" s="22" t="e">
        <f>VLOOKUP(J26,A1:H31,6,FALSE)</f>
        <v>#N/A</v>
      </c>
    </row>
    <row r="28" spans="1:13" ht="16" x14ac:dyDescent="0.4">
      <c r="A28" s="2">
        <v>10470</v>
      </c>
      <c r="B28" s="3" t="s">
        <v>51</v>
      </c>
      <c r="C28" s="4" t="s">
        <v>52</v>
      </c>
      <c r="D28" s="2" t="s">
        <v>20</v>
      </c>
      <c r="E28" s="2" t="s">
        <v>11</v>
      </c>
      <c r="F28" s="2">
        <v>75</v>
      </c>
      <c r="G28" s="2" t="str">
        <f t="shared" si="0"/>
        <v>FR75</v>
      </c>
      <c r="H28" s="5">
        <v>18750</v>
      </c>
      <c r="I28" s="21"/>
      <c r="J28" t="str">
        <f>IFERROR(VLOOKUP(J26,A1:H31,6,FALSE),"Not Found")</f>
        <v>Not Found</v>
      </c>
    </row>
    <row r="29" spans="1:13" ht="15.5" x14ac:dyDescent="0.35">
      <c r="A29" s="2">
        <v>10473</v>
      </c>
      <c r="B29" s="3" t="s">
        <v>15</v>
      </c>
      <c r="C29" s="4" t="s">
        <v>53</v>
      </c>
      <c r="D29" s="2" t="s">
        <v>20</v>
      </c>
      <c r="E29" s="2" t="s">
        <v>28</v>
      </c>
      <c r="F29" s="2">
        <v>75</v>
      </c>
      <c r="G29" s="2" t="str">
        <f t="shared" si="0"/>
        <v>US75</v>
      </c>
      <c r="H29" s="5">
        <v>18750</v>
      </c>
    </row>
    <row r="30" spans="1:13" ht="15.5" x14ac:dyDescent="0.35">
      <c r="A30" s="2">
        <v>10478</v>
      </c>
      <c r="B30" s="3" t="s">
        <v>51</v>
      </c>
      <c r="C30" s="4" t="s">
        <v>54</v>
      </c>
      <c r="D30" s="2" t="s">
        <v>20</v>
      </c>
      <c r="E30" s="2" t="s">
        <v>23</v>
      </c>
      <c r="F30" s="2">
        <v>75</v>
      </c>
      <c r="G30" s="2" t="str">
        <f t="shared" si="0"/>
        <v>JP75</v>
      </c>
      <c r="H30" s="5">
        <v>18750</v>
      </c>
    </row>
    <row r="31" spans="1:13" ht="15.5" x14ac:dyDescent="0.35">
      <c r="A31" s="2">
        <v>10478</v>
      </c>
      <c r="B31" s="3" t="s">
        <v>55</v>
      </c>
      <c r="C31" s="4" t="s">
        <v>54</v>
      </c>
      <c r="D31" s="2" t="s">
        <v>20</v>
      </c>
      <c r="E31" s="2" t="s">
        <v>23</v>
      </c>
      <c r="F31" s="2">
        <v>87</v>
      </c>
      <c r="G31" s="2" t="str">
        <f t="shared" si="0"/>
        <v>JP87</v>
      </c>
      <c r="H31" s="5">
        <v>18750</v>
      </c>
    </row>
  </sheetData>
  <mergeCells count="6">
    <mergeCell ref="J9:M9"/>
    <mergeCell ref="J13:M13"/>
    <mergeCell ref="J17:M17"/>
    <mergeCell ref="J21:M21"/>
    <mergeCell ref="J25:M25"/>
    <mergeCell ref="J15:K15"/>
  </mergeCells>
  <conditionalFormatting sqref="A2:H31">
    <cfRule type="expression" dxfId="69" priority="54">
      <formula>$E2=#REF!</formula>
    </cfRule>
    <cfRule type="expression" dxfId="68" priority="55">
      <formula>$E2=#REF!</formula>
    </cfRule>
    <cfRule type="expression" dxfId="67" priority="56">
      <formula>$E2=#REF!</formula>
    </cfRule>
    <cfRule type="expression" dxfId="66" priority="57">
      <formula>$F2=#REF!</formula>
    </cfRule>
    <cfRule type="expression" dxfId="65" priority="58">
      <formula>$E2=#REF!</formula>
    </cfRule>
    <cfRule type="expression" dxfId="64" priority="59">
      <formula>$E2=#REF!</formula>
    </cfRule>
  </conditionalFormatting>
  <conditionalFormatting sqref="C1:C31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{7ADA41F4-AEB5-478D-AE97-8F1E2DC0A399}</x14:id>
        </ext>
      </extLst>
    </cfRule>
  </conditionalFormatting>
  <conditionalFormatting sqref="D1:D31"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{704B9DBA-880B-4442-A35E-1C89484B4E71}</x14:id>
        </ext>
      </extLst>
    </cfRule>
  </conditionalFormatting>
  <conditionalFormatting sqref="E1:E31">
    <cfRule type="dataBar" priority="5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{381BE04C-AE88-4562-AEB4-6EF7BEDD53C8}</x14:id>
        </ext>
      </extLst>
    </cfRule>
  </conditionalFormatting>
  <conditionalFormatting sqref="G1">
    <cfRule type="dataBar" priority="5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{51D9361D-8DA2-4F93-9FBE-32057C6AA77C}</x14:id>
        </ext>
      </extLst>
    </cfRule>
  </conditionalFormatting>
  <conditionalFormatting sqref="K2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{8CF7A2CA-B2C0-4094-A48C-17941A9A9F6B}</x14:id>
        </ext>
      </extLst>
    </cfRule>
  </conditionalFormatting>
  <conditionalFormatting sqref="K2:K4">
    <cfRule type="expression" dxfId="63" priority="9">
      <formula>$E2=#REF!</formula>
    </cfRule>
    <cfRule type="expression" dxfId="62" priority="10">
      <formula>$E2=#REF!</formula>
    </cfRule>
    <cfRule type="expression" dxfId="61" priority="11">
      <formula>$E2=#REF!</formula>
    </cfRule>
    <cfRule type="expression" dxfId="60" priority="12">
      <formula>$F2=#REF!</formula>
    </cfRule>
    <cfRule type="expression" dxfId="59" priority="13">
      <formula>$E2=#REF!</formula>
    </cfRule>
    <cfRule type="expression" dxfId="58" priority="14">
      <formula>$E2=#REF!</formula>
    </cfRule>
  </conditionalFormatting>
  <conditionalFormatting sqref="K3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{BDA6982F-64AB-4E35-B028-6AF299AECF50}</x14:id>
        </ext>
      </extLst>
    </cfRule>
  </conditionalFormatting>
  <conditionalFormatting sqref="K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{BD4B5EBD-1BCC-4A9F-B1C1-4C76EF5884F1}</x14:id>
        </ext>
      </extLst>
    </cfRule>
  </conditionalFormatting>
  <conditionalFormatting sqref="K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{BBA98EF7-C6D0-4736-95BC-CE47C79FE98E}</x14:id>
        </ext>
      </extLst>
    </cfRule>
    <cfRule type="expression" dxfId="57" priority="2">
      <formula>$E6=#REF!</formula>
    </cfRule>
    <cfRule type="expression" dxfId="56" priority="3">
      <formula>$E6=#REF!</formula>
    </cfRule>
    <cfRule type="expression" dxfId="55" priority="4">
      <formula>$E6=#REF!</formula>
    </cfRule>
    <cfRule type="expression" dxfId="54" priority="5">
      <formula>$F6=#REF!</formula>
    </cfRule>
    <cfRule type="expression" dxfId="53" priority="6">
      <formula>$E6=#REF!</formula>
    </cfRule>
    <cfRule type="expression" dxfId="52" priority="7">
      <formula>$E6=#REF!</formula>
    </cfRule>
  </conditionalFormatting>
  <conditionalFormatting sqref="M8">
    <cfRule type="expression" dxfId="51" priority="30">
      <formula>$E8=#REF!</formula>
    </cfRule>
    <cfRule type="expression" dxfId="50" priority="31">
      <formula>$E8=#REF!</formula>
    </cfRule>
    <cfRule type="expression" dxfId="49" priority="32">
      <formula>$E8=#REF!</formula>
    </cfRule>
    <cfRule type="expression" dxfId="48" priority="33">
      <formula>$F8=#REF!</formula>
    </cfRule>
    <cfRule type="expression" dxfId="47" priority="34">
      <formula>$E8=#REF!</formula>
    </cfRule>
    <cfRule type="expression" dxfId="46" priority="35">
      <formula>$E8=#REF!</formula>
    </cfRule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{3F5B1723-ED6D-4DD4-A1CD-83A171C0A5ED}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DA41F4-AEB5-478D-AE97-8F1E2DC0A3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C1:C31</xm:sqref>
        </x14:conditionalFormatting>
        <x14:conditionalFormatting xmlns:xm="http://schemas.microsoft.com/office/excel/2006/main">
          <x14:cfRule type="dataBar" id="{704B9DBA-880B-4442-A35E-1C89484B4E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D1:D31</xm:sqref>
        </x14:conditionalFormatting>
        <x14:conditionalFormatting xmlns:xm="http://schemas.microsoft.com/office/excel/2006/main">
          <x14:cfRule type="dataBar" id="{381BE04C-AE88-4562-AEB4-6EF7BEDD53C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E1:E31</xm:sqref>
        </x14:conditionalFormatting>
        <x14:conditionalFormatting xmlns:xm="http://schemas.microsoft.com/office/excel/2006/main">
          <x14:cfRule type="dataBar" id="{51D9361D-8DA2-4F93-9FBE-32057C6AA77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G1</xm:sqref>
        </x14:conditionalFormatting>
        <x14:conditionalFormatting xmlns:xm="http://schemas.microsoft.com/office/excel/2006/main">
          <x14:cfRule type="dataBar" id="{8CF7A2CA-B2C0-4094-A48C-17941A9A9F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</xm:sqref>
        </x14:conditionalFormatting>
        <x14:conditionalFormatting xmlns:xm="http://schemas.microsoft.com/office/excel/2006/main">
          <x14:cfRule type="dataBar" id="{BDA6982F-64AB-4E35-B028-6AF299AECF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  <x14:conditionalFormatting xmlns:xm="http://schemas.microsoft.com/office/excel/2006/main">
          <x14:cfRule type="dataBar" id="{BD4B5EBD-1BCC-4A9F-B1C1-4C76EF5884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K4</xm:sqref>
        </x14:conditionalFormatting>
        <x14:conditionalFormatting xmlns:xm="http://schemas.microsoft.com/office/excel/2006/main">
          <x14:cfRule type="dataBar" id="{BBA98EF7-C6D0-4736-95BC-CE47C79FE9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K6</xm:sqref>
        </x14:conditionalFormatting>
        <x14:conditionalFormatting xmlns:xm="http://schemas.microsoft.com/office/excel/2006/main">
          <x14:cfRule type="dataBar" id="{3F5B1723-ED6D-4DD4-A1CD-83A171C0A5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B5E29-C9D9-473B-88BC-15E541469CA6}">
  <dimension ref="B1:G25"/>
  <sheetViews>
    <sheetView topLeftCell="B11" zoomScale="108" zoomScaleNormal="108" workbookViewId="0">
      <selection activeCell="D14" sqref="D14"/>
    </sheetView>
  </sheetViews>
  <sheetFormatPr defaultRowHeight="14.5" x14ac:dyDescent="0.35"/>
  <cols>
    <col min="2" max="2" width="47.08984375" bestFit="1" customWidth="1"/>
    <col min="3" max="3" width="13.6328125" bestFit="1" customWidth="1"/>
    <col min="4" max="4" width="45.08984375" bestFit="1" customWidth="1"/>
    <col min="5" max="5" width="7" bestFit="1" customWidth="1"/>
    <col min="6" max="6" width="16.453125" bestFit="1" customWidth="1"/>
    <col min="7" max="7" width="8.453125" bestFit="1" customWidth="1"/>
  </cols>
  <sheetData>
    <row r="1" spans="2:7" x14ac:dyDescent="0.35">
      <c r="C1" s="20" t="s">
        <v>91</v>
      </c>
    </row>
    <row r="2" spans="2:7" x14ac:dyDescent="0.35">
      <c r="B2" t="s">
        <v>72</v>
      </c>
      <c r="C2" s="26">
        <f>_xlfn.XLOOKUP(D2,Sales!$A$2:$A$31,Sales!$H$2:$H$31,"Not found",0)</f>
        <v>36400</v>
      </c>
      <c r="D2">
        <v>10507</v>
      </c>
      <c r="F2">
        <f>VLOOKUP(D2,Sales!A1:H31,8,FALSE)</f>
        <v>36400</v>
      </c>
    </row>
    <row r="3" spans="2:7" x14ac:dyDescent="0.35">
      <c r="B3" t="s">
        <v>73</v>
      </c>
      <c r="C3" s="26" t="str">
        <f>_xlfn.XLOOKUP(D3,Sales!$A$2:$A$31,Sales!$C$2:$C$31,"not found",0)</f>
        <v>Steven Simpson</v>
      </c>
      <c r="D3">
        <v>10486</v>
      </c>
      <c r="F3" t="str">
        <f>VLOOKUP(D3,Sales!A1:H31,3,FALSE)</f>
        <v>Steven Simpson</v>
      </c>
    </row>
    <row r="4" spans="2:7" x14ac:dyDescent="0.35">
      <c r="B4" t="s">
        <v>74</v>
      </c>
      <c r="C4" s="26" t="str">
        <f>_xlfn.XLOOKUP(10546,Sales!$A$2:$A$31,Sales!$E$2:$E$31,"not found",0)</f>
        <v>JP</v>
      </c>
      <c r="F4" t="str">
        <f>IFERROR(VLOOKUP(10546,Sales!A1:H31,3,FALSE),"NOT FOUND")</f>
        <v>Christian Carter</v>
      </c>
    </row>
    <row r="5" spans="2:7" x14ac:dyDescent="0.35">
      <c r="B5" t="s">
        <v>75</v>
      </c>
      <c r="C5" s="26" t="str">
        <f>_xlfn.XLOOKUP(10523,Sales!$A$2:$A$31,Sales!$G$2:$G$31,"not found",0)</f>
        <v>JP80</v>
      </c>
    </row>
    <row r="6" spans="2:7" x14ac:dyDescent="0.35">
      <c r="B6" t="s">
        <v>76</v>
      </c>
      <c r="C6" s="26" t="str">
        <f>_xlfn.XLOOKUP(99999,Sales!$A$2:$A$31,Sales!$F$2:$F$31,"not found",0)</f>
        <v>not found</v>
      </c>
    </row>
    <row r="7" spans="2:7" x14ac:dyDescent="0.35">
      <c r="D7" s="17" t="s">
        <v>0</v>
      </c>
      <c r="E7" s="17">
        <v>10507</v>
      </c>
      <c r="F7" s="17">
        <v>10534</v>
      </c>
      <c r="G7" s="17">
        <v>10537</v>
      </c>
    </row>
    <row r="8" spans="2:7" ht="29" x14ac:dyDescent="0.35">
      <c r="D8" s="18" t="s">
        <v>2</v>
      </c>
      <c r="E8" s="18" t="s">
        <v>9</v>
      </c>
      <c r="F8" s="18" t="s">
        <v>13</v>
      </c>
      <c r="G8" s="18" t="s">
        <v>16</v>
      </c>
    </row>
    <row r="9" spans="2:7" x14ac:dyDescent="0.35">
      <c r="D9" s="18" t="s">
        <v>3</v>
      </c>
      <c r="E9" s="18" t="s">
        <v>10</v>
      </c>
      <c r="F9" s="18" t="s">
        <v>10</v>
      </c>
      <c r="G9" s="18" t="s">
        <v>10</v>
      </c>
    </row>
    <row r="10" spans="2:7" x14ac:dyDescent="0.35">
      <c r="D10" s="18" t="s">
        <v>4</v>
      </c>
      <c r="E10" s="18" t="s">
        <v>11</v>
      </c>
      <c r="F10" s="18" t="s">
        <v>14</v>
      </c>
      <c r="G10" s="18" t="s">
        <v>11</v>
      </c>
    </row>
    <row r="11" spans="2:7" x14ac:dyDescent="0.35">
      <c r="D11" s="18" t="s">
        <v>5</v>
      </c>
      <c r="E11" s="18">
        <v>91</v>
      </c>
      <c r="F11" s="18">
        <v>84</v>
      </c>
      <c r="G11" s="18">
        <v>84</v>
      </c>
    </row>
    <row r="12" spans="2:7" x14ac:dyDescent="0.35">
      <c r="D12" s="18" t="s">
        <v>7</v>
      </c>
      <c r="E12" s="18">
        <v>36400</v>
      </c>
      <c r="F12" s="18">
        <v>33440</v>
      </c>
      <c r="G12" s="18">
        <v>26752</v>
      </c>
    </row>
    <row r="13" spans="2:7" x14ac:dyDescent="0.35">
      <c r="B13" t="s">
        <v>77</v>
      </c>
      <c r="C13">
        <f>_xlfn.XLOOKUP(D13,$E$7:$G$7,$E$12:$G$12,"not found",0)</f>
        <v>36400</v>
      </c>
      <c r="D13">
        <v>10507</v>
      </c>
      <c r="E13" s="19">
        <f>HLOOKUP(D13,D7:G12,6,FALSE)</f>
        <v>36400</v>
      </c>
    </row>
    <row r="14" spans="2:7" x14ac:dyDescent="0.35">
      <c r="B14" t="s">
        <v>78</v>
      </c>
      <c r="C14" s="26" t="str">
        <f>_xlfn.XLOOKUP(D14,$E$7:$G$7,$E$10:$G$10,"not found",0)</f>
        <v>IT</v>
      </c>
      <c r="D14">
        <v>10534</v>
      </c>
      <c r="E14" s="19" t="str">
        <f>HLOOKUP(D14,D7:G12,4,FALSE)</f>
        <v>IT</v>
      </c>
    </row>
    <row r="15" spans="2:7" x14ac:dyDescent="0.35">
      <c r="B15" t="s">
        <v>79</v>
      </c>
      <c r="C15">
        <f>_xlfn.XLOOKUP(D15,Examples!$E$7:$G$7,Examples!$E$11:$G$11,"not found",0)</f>
        <v>84</v>
      </c>
      <c r="D15">
        <v>10537</v>
      </c>
      <c r="E15" s="19">
        <f>HLOOKUP(D15,D7:G12,5,FALSE)</f>
        <v>84</v>
      </c>
    </row>
    <row r="19" spans="2:6" x14ac:dyDescent="0.35">
      <c r="B19" s="25"/>
      <c r="C19" s="25"/>
      <c r="D19" s="27" t="s">
        <v>84</v>
      </c>
    </row>
    <row r="20" spans="2:6" x14ac:dyDescent="0.35">
      <c r="B20" s="25">
        <v>1</v>
      </c>
      <c r="C20" s="25"/>
      <c r="D20" s="25" t="s">
        <v>85</v>
      </c>
      <c r="F20">
        <f>_xlfn.XLOOKUP("Janet Murphy",Sales!$C$2:$C$31,Sales!$A$2:$A$31,"not found",0)</f>
        <v>10507</v>
      </c>
    </row>
    <row r="21" spans="2:6" x14ac:dyDescent="0.35">
      <c r="B21" s="30">
        <v>2</v>
      </c>
      <c r="C21" s="28"/>
      <c r="D21" s="29" t="s">
        <v>86</v>
      </c>
      <c r="F21" t="str">
        <f>_xlfn.XLOOKUP(99999,Sales!$A$2:$A$31,Sales!$F$2:$F$31,"Order Not Available",0)</f>
        <v>Order Not Available</v>
      </c>
    </row>
    <row r="22" spans="2:6" x14ac:dyDescent="0.35">
      <c r="B22" s="30"/>
      <c r="C22" s="28"/>
      <c r="D22" s="29" t="s">
        <v>87</v>
      </c>
    </row>
    <row r="23" spans="2:6" x14ac:dyDescent="0.35">
      <c r="B23" s="25">
        <v>3</v>
      </c>
      <c r="C23" s="25"/>
      <c r="D23" s="25" t="s">
        <v>88</v>
      </c>
      <c r="F23">
        <f>_xlfn.XLOOKUP(10523,Sales!$A$2:$A$31,Sales!$H$2:$H$31,"not found",0)</f>
        <v>32000</v>
      </c>
    </row>
    <row r="24" spans="2:6" x14ac:dyDescent="0.35">
      <c r="B24" s="25">
        <v>4</v>
      </c>
      <c r="C24" s="25"/>
      <c r="D24" s="25" t="s">
        <v>89</v>
      </c>
      <c r="F24">
        <f>_xlfn.XLOOKUP(10478,Sales!$A$2:$A$31,Sales!$F$2:$F$31,"not found",0,1)</f>
        <v>75</v>
      </c>
    </row>
    <row r="25" spans="2:6" x14ac:dyDescent="0.35">
      <c r="B25" s="25"/>
      <c r="C25" s="25"/>
      <c r="D25" s="25" t="s">
        <v>90</v>
      </c>
    </row>
  </sheetData>
  <mergeCells count="1">
    <mergeCell ref="B21:B2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08A3E-0736-4EC9-AF61-7F0DF7AB41E5}">
  <dimension ref="B2:M16"/>
  <sheetViews>
    <sheetView workbookViewId="0">
      <selection activeCell="K16" sqref="K16"/>
    </sheetView>
  </sheetViews>
  <sheetFormatPr defaultRowHeight="14.5" x14ac:dyDescent="0.35"/>
  <cols>
    <col min="3" max="3" width="11.453125" bestFit="1" customWidth="1"/>
    <col min="4" max="4" width="10.6328125" bestFit="1" customWidth="1"/>
    <col min="5" max="5" width="14.54296875" bestFit="1" customWidth="1"/>
    <col min="6" max="6" width="14.6328125" bestFit="1" customWidth="1"/>
    <col min="7" max="8" width="11.54296875" bestFit="1" customWidth="1"/>
    <col min="9" max="9" width="9.54296875" bestFit="1" customWidth="1"/>
    <col min="10" max="10" width="17.1796875" bestFit="1" customWidth="1"/>
    <col min="13" max="13" width="58.6328125" bestFit="1" customWidth="1"/>
  </cols>
  <sheetData>
    <row r="2" spans="2:13" x14ac:dyDescent="0.35">
      <c r="B2" t="s">
        <v>80</v>
      </c>
      <c r="I2">
        <v>1111</v>
      </c>
    </row>
    <row r="3" spans="2:13" x14ac:dyDescent="0.35">
      <c r="B3" s="9" t="s">
        <v>2</v>
      </c>
      <c r="C3" s="7" t="str" cm="1">
        <f t="array" ref="C3:I3">TRANSPOSE(Sales!C2:C8)</f>
        <v>Janet Murphy</v>
      </c>
      <c r="D3" s="7" t="str">
        <v>Janice Clark</v>
      </c>
      <c r="E3" s="7" t="str">
        <v>Charlotte Walker</v>
      </c>
      <c r="F3" s="7" t="str">
        <v>Natalie Robinson</v>
      </c>
      <c r="G3" s="7" t="str">
        <v>Doris Nguyen</v>
      </c>
      <c r="H3" s="7" t="str">
        <v>Keith Roberts</v>
      </c>
      <c r="I3" s="7" t="str">
        <v>Kelly Jones</v>
      </c>
    </row>
    <row r="4" spans="2:13" ht="15.5" x14ac:dyDescent="0.35">
      <c r="B4" s="9" t="s">
        <v>3</v>
      </c>
      <c r="C4" s="7" t="str" cm="1">
        <f t="array" ref="C4:G4">TRANSPOSE(Sales!D2:D6)</f>
        <v>Female</v>
      </c>
      <c r="D4" s="7" t="str">
        <v>Female</v>
      </c>
      <c r="E4" s="7" t="str">
        <v>Female</v>
      </c>
      <c r="F4" s="7" t="str">
        <v>Female</v>
      </c>
      <c r="G4" s="7" t="str">
        <v>Female</v>
      </c>
      <c r="H4" s="8" t="s">
        <v>20</v>
      </c>
      <c r="I4" s="8" t="s">
        <v>10</v>
      </c>
    </row>
    <row r="5" spans="2:13" x14ac:dyDescent="0.35">
      <c r="B5" s="9" t="s">
        <v>7</v>
      </c>
      <c r="C5" s="7" cm="1">
        <f t="array" ref="C5:I5">TRANSPOSE(Sales!H2:H8)</f>
        <v>36400</v>
      </c>
      <c r="D5" s="7">
        <v>33440</v>
      </c>
      <c r="E5" s="7">
        <v>26752</v>
      </c>
      <c r="F5" s="7">
        <v>26752</v>
      </c>
      <c r="G5" s="7">
        <v>33440</v>
      </c>
      <c r="H5" s="7">
        <v>20900</v>
      </c>
      <c r="I5" s="7">
        <v>26240</v>
      </c>
    </row>
    <row r="7" spans="2:13" ht="15.5" x14ac:dyDescent="0.35">
      <c r="J7" s="4" t="s">
        <v>17</v>
      </c>
      <c r="K7">
        <f>HLOOKUP($J7,$B$3:$I$5,3,FALSE)</f>
        <v>26752</v>
      </c>
    </row>
    <row r="8" spans="2:13" ht="15.5" x14ac:dyDescent="0.35">
      <c r="J8" s="4" t="s">
        <v>18</v>
      </c>
      <c r="K8">
        <f t="shared" ref="K8:K10" si="0">HLOOKUP($J8,$B$3:$I$5,3,FALSE)</f>
        <v>33440</v>
      </c>
      <c r="M8" s="13" t="s">
        <v>67</v>
      </c>
    </row>
    <row r="9" spans="2:13" ht="15.5" x14ac:dyDescent="0.35">
      <c r="J9" s="4" t="s">
        <v>19</v>
      </c>
      <c r="K9">
        <f t="shared" si="0"/>
        <v>20900</v>
      </c>
      <c r="M9" s="10" t="s">
        <v>57</v>
      </c>
    </row>
    <row r="10" spans="2:13" ht="15.5" x14ac:dyDescent="0.35">
      <c r="F10" s="7"/>
      <c r="J10" s="4" t="s">
        <v>22</v>
      </c>
      <c r="K10">
        <f t="shared" si="0"/>
        <v>26240</v>
      </c>
    </row>
    <row r="12" spans="2:13" x14ac:dyDescent="0.35">
      <c r="H12" s="15" t="s">
        <v>68</v>
      </c>
      <c r="I12" s="15" t="s">
        <v>69</v>
      </c>
    </row>
    <row r="13" spans="2:13" ht="29" x14ac:dyDescent="0.35">
      <c r="H13" s="16" t="s">
        <v>70</v>
      </c>
      <c r="I13" s="16" t="s">
        <v>71</v>
      </c>
    </row>
    <row r="14" spans="2:13" x14ac:dyDescent="0.35">
      <c r="H14" s="16"/>
      <c r="I14" s="16"/>
    </row>
    <row r="15" spans="2:13" x14ac:dyDescent="0.35">
      <c r="H15" s="16"/>
      <c r="I15" s="16"/>
    </row>
    <row r="16" spans="2:13" ht="15.5" x14ac:dyDescent="0.35">
      <c r="J16" s="4" t="s">
        <v>22</v>
      </c>
      <c r="K16">
        <f>HLOOKUP(J16,B3:I5,3,TRUE)</f>
        <v>26240</v>
      </c>
    </row>
  </sheetData>
  <conditionalFormatting sqref="H4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{CA526C6C-8854-4BC2-976B-E30CA0915364}</x14:id>
        </ext>
      </extLst>
    </cfRule>
  </conditionalFormatting>
  <conditionalFormatting sqref="H4:I4">
    <cfRule type="expression" dxfId="45" priority="37">
      <formula>$E4=#REF!</formula>
    </cfRule>
    <cfRule type="expression" dxfId="44" priority="38">
      <formula>$E4=#REF!</formula>
    </cfRule>
    <cfRule type="expression" dxfId="43" priority="39">
      <formula>$E4=#REF!</formula>
    </cfRule>
    <cfRule type="expression" dxfId="42" priority="40">
      <formula>$F4=#REF!</formula>
    </cfRule>
    <cfRule type="expression" dxfId="41" priority="41">
      <formula>$E4=#REF!</formula>
    </cfRule>
    <cfRule type="expression" dxfId="40" priority="42">
      <formula>$E4=#REF!</formula>
    </cfRule>
  </conditionalFormatting>
  <conditionalFormatting sqref="I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{B09BF464-366D-4D84-8BB8-DBEE6EA22EFE}</x14:id>
        </ext>
      </extLst>
    </cfRule>
  </conditionalFormatting>
  <conditionalFormatting sqref="J7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{A3FFA925-BF16-46A0-AFDD-D2D3D52B131D}</x14:id>
        </ext>
      </extLst>
    </cfRule>
    <cfRule type="expression" dxfId="39" priority="23">
      <formula>$E8=#REF!</formula>
    </cfRule>
    <cfRule type="expression" dxfId="38" priority="24">
      <formula>$E8=#REF!</formula>
    </cfRule>
    <cfRule type="expression" dxfId="37" priority="25">
      <formula>$E8=#REF!</formula>
    </cfRule>
    <cfRule type="expression" dxfId="36" priority="26">
      <formula>$F8=#REF!</formula>
    </cfRule>
    <cfRule type="expression" dxfId="35" priority="27">
      <formula>$E8=#REF!</formula>
    </cfRule>
    <cfRule type="expression" dxfId="34" priority="28">
      <formula>$E8=#REF!</formula>
    </cfRule>
  </conditionalFormatting>
  <conditionalFormatting sqref="J8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{2047E462-0567-4F55-A40C-9E8470817854}</x14:id>
        </ext>
      </extLst>
    </cfRule>
  </conditionalFormatting>
  <conditionalFormatting sqref="J8:J10">
    <cfRule type="expression" dxfId="33" priority="9">
      <formula>$E8=#REF!</formula>
    </cfRule>
    <cfRule type="expression" dxfId="32" priority="10">
      <formula>$E8=#REF!</formula>
    </cfRule>
    <cfRule type="expression" dxfId="31" priority="11">
      <formula>$E8=#REF!</formula>
    </cfRule>
    <cfRule type="expression" dxfId="30" priority="12">
      <formula>$F8=#REF!</formula>
    </cfRule>
    <cfRule type="expression" dxfId="29" priority="13">
      <formula>$E8=#REF!</formula>
    </cfRule>
    <cfRule type="expression" dxfId="28" priority="14">
      <formula>$E8=#REF!</formula>
    </cfRule>
  </conditionalFormatting>
  <conditionalFormatting sqref="J9:J10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{A6C5ACA3-D524-4EB7-AE69-B83766556FEF}</x14:id>
        </ext>
      </extLst>
    </cfRule>
  </conditionalFormatting>
  <conditionalFormatting sqref="J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{1C91EA40-48E0-4E86-B317-2665A062D78D}</x14:id>
        </ext>
      </extLst>
    </cfRule>
    <cfRule type="expression" dxfId="27" priority="2">
      <formula>$E16=#REF!</formula>
    </cfRule>
    <cfRule type="expression" dxfId="26" priority="3">
      <formula>$E16=#REF!</formula>
    </cfRule>
    <cfRule type="expression" dxfId="25" priority="4">
      <formula>$E16=#REF!</formula>
    </cfRule>
    <cfRule type="expression" dxfId="24" priority="5">
      <formula>$F16=#REF!</formula>
    </cfRule>
    <cfRule type="expression" dxfId="23" priority="6">
      <formula>$E16=#REF!</formula>
    </cfRule>
    <cfRule type="expression" dxfId="22" priority="7">
      <formula>$E16=#REF!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526C6C-8854-4BC2-976B-E30CA09153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H4</xm:sqref>
        </x14:conditionalFormatting>
        <x14:conditionalFormatting xmlns:xm="http://schemas.microsoft.com/office/excel/2006/main">
          <x14:cfRule type="dataBar" id="{B09BF464-366D-4D84-8BB8-DBEE6EA22E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I4</xm:sqref>
        </x14:conditionalFormatting>
        <x14:conditionalFormatting xmlns:xm="http://schemas.microsoft.com/office/excel/2006/main">
          <x14:cfRule type="dataBar" id="{A3FFA925-BF16-46A0-AFDD-D2D3D52B13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2047E462-0567-4F55-A40C-9E84708178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A6C5ACA3-D524-4EB7-AE69-B83766556F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J9:J10</xm:sqref>
        </x14:conditionalFormatting>
        <x14:conditionalFormatting xmlns:xm="http://schemas.microsoft.com/office/excel/2006/main">
          <x14:cfRule type="dataBar" id="{1C91EA40-48E0-4E86-B317-2665A062D7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792B3-5B2D-40B8-A0A1-E60999BD940E}">
  <dimension ref="B2:I13"/>
  <sheetViews>
    <sheetView workbookViewId="0">
      <selection activeCell="G15" sqref="G15"/>
    </sheetView>
  </sheetViews>
  <sheetFormatPr defaultRowHeight="14.5" x14ac:dyDescent="0.35"/>
  <cols>
    <col min="2" max="2" width="17.1796875" bestFit="1" customWidth="1"/>
    <col min="7" max="7" width="76.90625" bestFit="1" customWidth="1"/>
  </cols>
  <sheetData>
    <row r="2" spans="2:9" x14ac:dyDescent="0.35">
      <c r="B2" s="6" t="s">
        <v>2</v>
      </c>
      <c r="C2" s="6" t="s">
        <v>7</v>
      </c>
    </row>
    <row r="3" spans="2:9" ht="15.5" x14ac:dyDescent="0.35">
      <c r="B3" s="4" t="s">
        <v>9</v>
      </c>
      <c r="C3">
        <f>VLOOKUP(B3,Sales!$C$1:$H$31,6,FALSE)</f>
        <v>36400</v>
      </c>
    </row>
    <row r="4" spans="2:9" ht="15.5" x14ac:dyDescent="0.35">
      <c r="B4" s="4" t="s">
        <v>13</v>
      </c>
      <c r="C4">
        <f>VLOOKUP(B4,Sales!$C$1:$H$31,6,FALSE)</f>
        <v>33440</v>
      </c>
    </row>
    <row r="5" spans="2:9" ht="15.5" x14ac:dyDescent="0.35">
      <c r="B5" s="4" t="s">
        <v>16</v>
      </c>
      <c r="C5">
        <f>VLOOKUP(B5,Sales!$C$1:$H$31,6,FALSE)</f>
        <v>26752</v>
      </c>
      <c r="G5" s="13" t="s">
        <v>62</v>
      </c>
    </row>
    <row r="6" spans="2:9" ht="15.5" x14ac:dyDescent="0.35">
      <c r="B6" s="4" t="s">
        <v>17</v>
      </c>
      <c r="C6">
        <f>VLOOKUP(B6,Sales!$C$1:$H$31,6,FALSE)</f>
        <v>26752</v>
      </c>
      <c r="G6" s="14" t="s">
        <v>56</v>
      </c>
    </row>
    <row r="7" spans="2:9" ht="15.5" x14ac:dyDescent="0.35">
      <c r="B7" s="4" t="s">
        <v>18</v>
      </c>
      <c r="C7">
        <f>VLOOKUP(B7,Sales!$C$1:$H$31,6,FALSE)</f>
        <v>33440</v>
      </c>
    </row>
    <row r="8" spans="2:9" x14ac:dyDescent="0.35">
      <c r="G8" t="s">
        <v>63</v>
      </c>
    </row>
    <row r="9" spans="2:9" x14ac:dyDescent="0.35">
      <c r="G9" t="s">
        <v>64</v>
      </c>
    </row>
    <row r="10" spans="2:9" x14ac:dyDescent="0.35">
      <c r="G10" t="s">
        <v>65</v>
      </c>
    </row>
    <row r="11" spans="2:9" x14ac:dyDescent="0.35">
      <c r="G11" t="s">
        <v>66</v>
      </c>
      <c r="H11" s="15" t="s">
        <v>58</v>
      </c>
      <c r="I11" s="15" t="s">
        <v>59</v>
      </c>
    </row>
    <row r="12" spans="2:9" ht="29" x14ac:dyDescent="0.35">
      <c r="G12">
        <v>0</v>
      </c>
      <c r="H12" s="16" t="b">
        <v>0</v>
      </c>
      <c r="I12" s="16" t="s">
        <v>60</v>
      </c>
    </row>
    <row r="13" spans="2:9" ht="43.5" x14ac:dyDescent="0.35">
      <c r="G13">
        <v>1</v>
      </c>
      <c r="H13" s="16" t="b">
        <v>1</v>
      </c>
      <c r="I13" s="16" t="s">
        <v>61</v>
      </c>
    </row>
  </sheetData>
  <conditionalFormatting sqref="B3:B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{83D024F3-3DC2-413D-8D18-5E7224FEDE2C}</x14:id>
        </ext>
      </extLst>
    </cfRule>
    <cfRule type="expression" dxfId="21" priority="2">
      <formula>$E3=#REF!</formula>
    </cfRule>
    <cfRule type="expression" dxfId="20" priority="3">
      <formula>$E3=#REF!</formula>
    </cfRule>
    <cfRule type="expression" dxfId="19" priority="4">
      <formula>$E3=#REF!</formula>
    </cfRule>
    <cfRule type="expression" dxfId="18" priority="5">
      <formula>$F3=#REF!</formula>
    </cfRule>
    <cfRule type="expression" dxfId="17" priority="6">
      <formula>$E3=#REF!</formula>
    </cfRule>
    <cfRule type="expression" dxfId="16" priority="7">
      <formula>$E3=#REF!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3D024F3-3DC2-413D-8D18-5E7224FEDE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B3:B7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75AB7-3498-49AE-93F1-356F51BD59B9}">
  <dimension ref="A1"/>
  <sheetViews>
    <sheetView topLeftCell="A4" workbookViewId="0">
      <selection activeCell="G26" sqref="G26"/>
    </sheetView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0ACEE-0B4D-4A7D-9FDC-D7A47561AC51}">
  <dimension ref="B3:J7"/>
  <sheetViews>
    <sheetView workbookViewId="0">
      <selection activeCell="L11" sqref="L11"/>
    </sheetView>
  </sheetViews>
  <sheetFormatPr defaultRowHeight="14.5" x14ac:dyDescent="0.35"/>
  <cols>
    <col min="3" max="3" width="11.453125" bestFit="1" customWidth="1"/>
    <col min="4" max="4" width="10.6328125" bestFit="1" customWidth="1"/>
    <col min="5" max="5" width="14.54296875" bestFit="1" customWidth="1"/>
    <col min="6" max="6" width="14.6328125" bestFit="1" customWidth="1"/>
    <col min="7" max="8" width="11.54296875" bestFit="1" customWidth="1"/>
    <col min="10" max="10" width="17" bestFit="1" customWidth="1"/>
  </cols>
  <sheetData>
    <row r="3" spans="2:10" x14ac:dyDescent="0.35">
      <c r="B3" s="11" t="s">
        <v>2</v>
      </c>
      <c r="C3" s="12" t="str" cm="1">
        <f t="array" ref="C3:H3">TRANSPOSE(Sales!C2:C7)</f>
        <v>Janet Murphy</v>
      </c>
      <c r="D3" s="12" t="str">
        <v>Janice Clark</v>
      </c>
      <c r="E3" s="12" t="str">
        <v>Charlotte Walker</v>
      </c>
      <c r="F3" s="12" t="str">
        <v>Natalie Robinson</v>
      </c>
      <c r="G3" s="12" t="str">
        <v>Doris Nguyen</v>
      </c>
      <c r="H3" s="12" t="str">
        <v>Keith Roberts</v>
      </c>
    </row>
    <row r="4" spans="2:10" x14ac:dyDescent="0.35">
      <c r="B4" s="11" t="s">
        <v>7</v>
      </c>
      <c r="C4" s="12" cm="1">
        <f t="array" ref="C4:H4">TRANSPOSE(Sales!H2:H7)</f>
        <v>36400</v>
      </c>
      <c r="D4" s="12">
        <v>33440</v>
      </c>
      <c r="E4" s="12">
        <v>26752</v>
      </c>
      <c r="F4" s="12">
        <v>26752</v>
      </c>
      <c r="G4" s="12">
        <v>33440</v>
      </c>
      <c r="H4" s="12">
        <v>20900</v>
      </c>
    </row>
    <row r="6" spans="2:10" ht="15.5" x14ac:dyDescent="0.35">
      <c r="J6" s="4" t="s">
        <v>13</v>
      </c>
    </row>
    <row r="7" spans="2:10" ht="15.5" x14ac:dyDescent="0.35">
      <c r="J7" s="4" t="s">
        <v>16</v>
      </c>
    </row>
  </sheetData>
  <conditionalFormatting sqref="J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{B1557057-6738-45C3-82D7-4E471167FFF2}</x14:id>
        </ext>
      </extLst>
    </cfRule>
  </conditionalFormatting>
  <conditionalFormatting sqref="J6:J7">
    <cfRule type="expression" dxfId="15" priority="2">
      <formula>$E6=#REF!</formula>
    </cfRule>
    <cfRule type="expression" dxfId="14" priority="3">
      <formula>$E6=#REF!</formula>
    </cfRule>
    <cfRule type="expression" dxfId="13" priority="4">
      <formula>$E6=#REF!</formula>
    </cfRule>
    <cfRule type="expression" dxfId="12" priority="5">
      <formula>$F6=#REF!</formula>
    </cfRule>
    <cfRule type="expression" dxfId="11" priority="6">
      <formula>$E6=#REF!</formula>
    </cfRule>
    <cfRule type="expression" dxfId="10" priority="7">
      <formula>$E6=#REF!</formula>
    </cfRule>
  </conditionalFormatting>
  <conditionalFormatting sqref="J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{3D60E455-D28E-4DB3-A035-1CB4094DF8B4}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557057-6738-45C3-82D7-4E471167FF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3D60E455-D28E-4DB3-A035-1CB4094DF8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</vt:lpstr>
      <vt:lpstr>Examples</vt:lpstr>
      <vt:lpstr>Hlookup</vt:lpstr>
      <vt:lpstr>Vloopup</vt:lpstr>
      <vt:lpstr>Index_Match</vt:lpstr>
      <vt:lpstr>Xlookup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Kambale</dc:creator>
  <cp:lastModifiedBy>MANOJ DHAGE</cp:lastModifiedBy>
  <dcterms:created xsi:type="dcterms:W3CDTF">2025-09-25T07:35:01Z</dcterms:created>
  <dcterms:modified xsi:type="dcterms:W3CDTF">2026-02-06T05:14:09Z</dcterms:modified>
</cp:coreProperties>
</file>