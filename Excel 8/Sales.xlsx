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178042a2d924d9f3/Desktop/upGrad/Excel/Excel 8/"/>
    </mc:Choice>
  </mc:AlternateContent>
  <xr:revisionPtr revIDLastSave="1364" documentId="8_{62596149-2650-4EC3-B102-EDE4A9EFC75F}" xr6:coauthVersionLast="47" xr6:coauthVersionMax="47" xr10:uidLastSave="{5DF143D3-6BFB-4F96-B34C-1AC603C1284B}"/>
  <bookViews>
    <workbookView xWindow="-110" yWindow="-110" windowWidth="19420" windowHeight="11020" firstSheet="4" activeTab="10" xr2:uid="{7B3B2336-C33F-4F68-8D39-2C0E00BB0125}"/>
  </bookViews>
  <sheets>
    <sheet name="Sales_Data" sheetId="1" r:id="rId1"/>
    <sheet name="Lookups" sheetId="9" r:id="rId2"/>
    <sheet name="Index_Match" sheetId="11" r:id="rId3"/>
    <sheet name="Daily_Questions" sheetId="2" r:id="rId4"/>
    <sheet name="IF" sheetId="3" r:id="rId5"/>
    <sheet name="IFS" sheetId="7" r:id="rId6"/>
    <sheet name="Count_if" sheetId="4" r:id="rId7"/>
    <sheet name="Sheet1" sheetId="8" r:id="rId8"/>
    <sheet name="Sumif" sheetId="5" r:id="rId9"/>
    <sheet name="Wildcard_SUMIFS" sheetId="6" r:id="rId10"/>
    <sheet name="9_2_026" sheetId="12" r:id="rId11"/>
  </sheets>
  <definedNames>
    <definedName name="_xlnm._FilterDatabase" localSheetId="0" hidden="1">Sales_Data!$E$1:$E$31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1" l="1"/>
  <c r="N7" i="11"/>
  <c r="N6" i="11"/>
  <c r="N5" i="11"/>
  <c r="J2" i="11"/>
  <c r="I22" i="9"/>
  <c r="M6" i="11"/>
  <c r="M7"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L11" i="9"/>
  <c r="K12" i="9"/>
  <c r="K13" i="9"/>
  <c r="J28" i="9"/>
  <c r="K28" i="9"/>
  <c r="L28" i="9"/>
  <c r="M28" i="9"/>
  <c r="I28" i="9"/>
  <c r="H27" i="9" a="1"/>
  <c r="H27" i="9" s="1"/>
  <c r="I12" i="9"/>
  <c r="I13" i="9"/>
  <c r="I11" i="9"/>
  <c r="K21" i="9" a="1"/>
  <c r="K21" i="9" s="1"/>
  <c r="J11" i="9"/>
  <c r="J12" i="9"/>
  <c r="J13" i="9"/>
  <c r="J22" i="9"/>
  <c r="I21" i="9"/>
  <c r="J20" i="9"/>
  <c r="I18" i="9" a="1"/>
  <c r="I18" i="9" s="1"/>
  <c r="I29" i="9" s="1"/>
  <c r="I17" i="9" a="1"/>
  <c r="I17" i="9" s="1"/>
  <c r="H16" i="9" a="1"/>
  <c r="H16" i="9" s="1"/>
  <c r="L4" i="6"/>
  <c r="H4" i="6"/>
  <c r="H8" i="6"/>
  <c r="H7" i="6"/>
  <c r="P8" i="5"/>
  <c r="P3" i="5"/>
  <c r="P4" i="5"/>
  <c r="P5" i="5"/>
  <c r="P6" i="5"/>
  <c r="P7" i="5"/>
  <c r="P2" i="5"/>
  <c r="D2" i="8"/>
  <c r="K17" i="8"/>
  <c r="P4" i="8"/>
  <c r="P5" i="8"/>
  <c r="P6" i="8"/>
  <c r="N4" i="8"/>
  <c r="N5" i="8"/>
  <c r="N6" i="8"/>
  <c r="N3" i="8"/>
  <c r="M5" i="8"/>
  <c r="M6" i="8"/>
  <c r="M4" i="8"/>
  <c r="M3" i="8"/>
  <c r="Q15" i="4"/>
  <c r="P15" i="4"/>
  <c r="O15" i="4"/>
  <c r="L2" i="4"/>
  <c r="K3" i="4"/>
  <c r="K2" i="4"/>
  <c r="F8" i="7" a="1"/>
  <c r="F8" i="7" s="1"/>
  <c r="F9" i="7" a="1"/>
  <c r="F9" i="7"/>
  <c r="F10" i="7" a="1"/>
  <c r="F10" i="7" s="1"/>
  <c r="F11" i="7" a="1"/>
  <c r="F11" i="7"/>
  <c r="F12" i="7" a="1"/>
  <c r="F12" i="7"/>
  <c r="F13" i="7" a="1"/>
  <c r="F13" i="7"/>
  <c r="F14" i="7" a="1"/>
  <c r="F14" i="7" s="1"/>
  <c r="F7" i="7" a="1"/>
  <c r="F7" i="7"/>
  <c r="D8" i="7" a="1"/>
  <c r="D8" i="7" s="1"/>
  <c r="D9" i="7" a="1"/>
  <c r="D9" i="7"/>
  <c r="D10" i="7" a="1"/>
  <c r="D10" i="7"/>
  <c r="D11" i="7" a="1"/>
  <c r="D11" i="7"/>
  <c r="D12" i="7" a="1"/>
  <c r="D12" i="7"/>
  <c r="D13" i="7" a="1"/>
  <c r="D13" i="7"/>
  <c r="D14" i="7" a="1"/>
  <c r="D14" i="7" s="1"/>
  <c r="D7" i="7" a="1"/>
  <c r="D7" i="7" s="1"/>
  <c r="F5" i="3"/>
  <c r="F6" i="3"/>
  <c r="F7" i="3"/>
  <c r="F8" i="3"/>
  <c r="F9" i="3"/>
  <c r="F10" i="3"/>
  <c r="F11" i="3"/>
  <c r="F4" i="3"/>
  <c r="J29" i="9" l="1"/>
  <c r="L29" i="9"/>
  <c r="M29" i="9"/>
  <c r="K29" i="9"/>
  <c r="K22" i="9"/>
  <c r="G2" i="5"/>
  <c r="J4" i="4"/>
  <c r="J5" i="4"/>
  <c r="J3" i="4"/>
  <c r="J2" i="4"/>
  <c r="E8" i="7" a="1"/>
  <c r="E8" i="7" s="1"/>
  <c r="L16" i="1"/>
  <c r="L15" i="1"/>
  <c r="K16" i="1"/>
  <c r="K15" i="1"/>
  <c r="J16" i="1"/>
  <c r="J15" i="1"/>
  <c r="J14" i="1"/>
  <c r="J3" i="1" a="1"/>
  <c r="J3" i="1" s="1"/>
  <c r="K12" i="1" s="1"/>
  <c r="H6" i="6"/>
  <c r="I6" i="6"/>
  <c r="L3" i="5"/>
  <c r="L4" i="5"/>
  <c r="L5" i="5"/>
  <c r="L6" i="5"/>
  <c r="L7" i="5"/>
  <c r="L2" i="5"/>
  <c r="I4" i="4"/>
  <c r="I5" i="4"/>
  <c r="I6" i="4"/>
  <c r="I7" i="4"/>
  <c r="I3" i="4"/>
  <c r="I2" i="4"/>
  <c r="E5" i="3"/>
  <c r="E6" i="3"/>
  <c r="E7" i="3"/>
  <c r="E8" i="3"/>
  <c r="E9" i="3"/>
  <c r="E10" i="3"/>
  <c r="E11" i="3"/>
  <c r="E4" i="3"/>
  <c r="I4" i="6"/>
  <c r="J4" i="6"/>
  <c r="K4" i="6"/>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2" i="1"/>
  <c r="F2" i="5"/>
  <c r="F3" i="5"/>
  <c r="F4" i="5"/>
  <c r="F5" i="5"/>
  <c r="F6" i="5"/>
  <c r="F7" i="5"/>
  <c r="H3" i="4"/>
  <c r="H4" i="4"/>
  <c r="H5" i="4"/>
  <c r="H6" i="4"/>
  <c r="H7" i="4"/>
  <c r="H2" i="4"/>
  <c r="D5" i="3"/>
  <c r="D6" i="3"/>
  <c r="D7" i="3"/>
  <c r="D8" i="3"/>
  <c r="D9" i="3"/>
  <c r="D10" i="3"/>
  <c r="D11" i="3"/>
  <c r="D4" i="3"/>
  <c r="J12" i="1" l="1"/>
  <c r="L12" i="1"/>
  <c r="M1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<sst xmlns="http://schemas.openxmlformats.org/spreadsheetml/2006/main" count="729" uniqueCount="237">
  <si>
    <t>Order ID</t>
  </si>
  <si>
    <t>Due Date</t>
  </si>
  <si>
    <t>Name</t>
  </si>
  <si>
    <t>Gender</t>
  </si>
  <si>
    <t>Country</t>
  </si>
  <si>
    <t>Units</t>
  </si>
  <si>
    <t>Country_Units</t>
  </si>
  <si>
    <t>Revenue</t>
  </si>
  <si>
    <t>2/13/2024</t>
  </si>
  <si>
    <t>Janet Murphy</t>
  </si>
  <si>
    <t>Female</t>
  </si>
  <si>
    <t>FR</t>
  </si>
  <si>
    <t>Button</t>
  </si>
  <si>
    <t>2/23/2024</t>
  </si>
  <si>
    <t>Janice Clark</t>
  </si>
  <si>
    <t>IT</t>
  </si>
  <si>
    <t>JP</t>
  </si>
  <si>
    <t>2/14/2024</t>
  </si>
  <si>
    <t>Charlotte Walker</t>
  </si>
  <si>
    <t>Natalie Robinson</t>
  </si>
  <si>
    <t>Doris Nguyen</t>
  </si>
  <si>
    <t>Keith Roberts</t>
  </si>
  <si>
    <t>Male</t>
  </si>
  <si>
    <t>UK</t>
  </si>
  <si>
    <t>Kelly Jones</t>
  </si>
  <si>
    <t>Kennedi Singh</t>
  </si>
  <si>
    <t>ES</t>
  </si>
  <si>
    <t>Joseph Mitchell</t>
  </si>
  <si>
    <t>Steven Simpson</t>
  </si>
  <si>
    <t>US</t>
  </si>
  <si>
    <t>Kenneth Anderson</t>
  </si>
  <si>
    <t>5/14/2024</t>
  </si>
  <si>
    <t>Nicholas Gerrard</t>
  </si>
  <si>
    <t>Judith Lopez</t>
  </si>
  <si>
    <t>Hannah Garcia</t>
  </si>
  <si>
    <t>Marilyn Allen</t>
  </si>
  <si>
    <t>Brendan Walls</t>
  </si>
  <si>
    <t>Carolyn Muir</t>
  </si>
  <si>
    <t>2/27/2024</t>
  </si>
  <si>
    <t>Teresa Jarris</t>
  </si>
  <si>
    <t>Item</t>
  </si>
  <si>
    <t>Sumif</t>
  </si>
  <si>
    <t>Countif</t>
  </si>
  <si>
    <t>Avgif</t>
  </si>
  <si>
    <t>2/22/2024</t>
  </si>
  <si>
    <t>Beverly Young</t>
  </si>
  <si>
    <t>Brittany Hill</t>
  </si>
  <si>
    <t>6/16/2024</t>
  </si>
  <si>
    <t>Christian Carter</t>
  </si>
  <si>
    <t>7/26/2024</t>
  </si>
  <si>
    <t>Gary Sinclair</t>
  </si>
  <si>
    <t>Ivan Hines</t>
  </si>
  <si>
    <t>4/17/2024</t>
  </si>
  <si>
    <t>Jonah Higgins</t>
  </si>
  <si>
    <t>Lucia Mckay</t>
  </si>
  <si>
    <t>Jaylynn Knapp</t>
  </si>
  <si>
    <t>2/17/2024</t>
  </si>
  <si>
    <t>Bryce Carpenter</t>
  </si>
  <si>
    <t>Michael Filson</t>
  </si>
  <si>
    <t>Thomas Clark</t>
  </si>
  <si>
    <t>2/20/2024</t>
  </si>
  <si>
    <t>ID</t>
  </si>
  <si>
    <t>Student_Name</t>
  </si>
  <si>
    <t>Address</t>
  </si>
  <si>
    <t xml:space="preserve">Subject </t>
  </si>
  <si>
    <t>Marks</t>
  </si>
  <si>
    <t>a</t>
  </si>
  <si>
    <t>Phy</t>
  </si>
  <si>
    <t>b</t>
  </si>
  <si>
    <t>fffff</t>
  </si>
  <si>
    <t>Maths</t>
  </si>
  <si>
    <t>c</t>
  </si>
  <si>
    <t>Pune</t>
  </si>
  <si>
    <t xml:space="preserve">Chem </t>
  </si>
  <si>
    <t>why we use lookup - to find and retrieve specific data from a table or range based on a related value. reduces manual searching</t>
  </si>
  <si>
    <t>d</t>
  </si>
  <si>
    <t xml:space="preserve">  </t>
  </si>
  <si>
    <t>Bio</t>
  </si>
  <si>
    <t>AB</t>
  </si>
  <si>
    <t>aa</t>
  </si>
  <si>
    <t>Satara</t>
  </si>
  <si>
    <t>Marathi</t>
  </si>
  <si>
    <t>Vlookup</t>
  </si>
  <si>
    <t>VLOOKUP(lookup_value, table_array, col_index_num)</t>
  </si>
  <si>
    <t>bb</t>
  </si>
  <si>
    <t>Hindi</t>
  </si>
  <si>
    <t>Hlookup</t>
  </si>
  <si>
    <t>HLOOKUP(lookup_value, table_array, row_index_num</t>
  </si>
  <si>
    <t>cc</t>
  </si>
  <si>
    <t>Xlookup</t>
  </si>
  <si>
    <t>XLOOKUP(lookup_value,lookup_array,return_array)</t>
  </si>
  <si>
    <t>dd</t>
  </si>
  <si>
    <t>aaa</t>
  </si>
  <si>
    <t>bbb</t>
  </si>
  <si>
    <t>pune</t>
  </si>
  <si>
    <t>ccc</t>
  </si>
  <si>
    <t>ddd</t>
  </si>
  <si>
    <t>ab</t>
  </si>
  <si>
    <t>Dhule</t>
  </si>
  <si>
    <t>cb</t>
  </si>
  <si>
    <t>abc</t>
  </si>
  <si>
    <t>bbbc</t>
  </si>
  <si>
    <t>cbcc</t>
  </si>
  <si>
    <t>dbcbc</t>
  </si>
  <si>
    <t>address</t>
  </si>
  <si>
    <t>cccc</t>
  </si>
  <si>
    <t>bba</t>
  </si>
  <si>
    <t>English</t>
  </si>
  <si>
    <t>Chem</t>
  </si>
  <si>
    <t>Total %</t>
  </si>
  <si>
    <t>Student_ID</t>
  </si>
  <si>
    <t>INDEX(return_range, MATCH(lookup_value, lookup_range, 0))</t>
  </si>
  <si>
    <t>Subject</t>
  </si>
  <si>
    <t>bbm</t>
  </si>
  <si>
    <t>m</t>
  </si>
  <si>
    <t>As</t>
  </si>
  <si>
    <t>sd</t>
  </si>
  <si>
    <t>ffff</t>
  </si>
  <si>
    <t>ssss</t>
  </si>
  <si>
    <t>wwww</t>
  </si>
  <si>
    <t>Questions</t>
  </si>
  <si>
    <r>
      <t xml:space="preserve">Highlight all </t>
    </r>
    <r>
      <rPr>
        <b/>
        <sz val="11"/>
        <color theme="1"/>
        <rFont val="Aptos Narrow"/>
        <family val="2"/>
        <scheme val="minor"/>
      </rPr>
      <t>orders where Revenue &gt; 30,000</t>
    </r>
    <r>
      <rPr>
        <sz val="11"/>
        <color theme="1"/>
        <rFont val="Aptos Narrow"/>
        <family val="2"/>
        <scheme val="minor"/>
      </rPr>
      <t xml:space="preserve"> in </t>
    </r>
    <r>
      <rPr>
        <b/>
        <sz val="11"/>
        <color theme="1"/>
        <rFont val="Aptos Narrow"/>
        <family val="2"/>
        <scheme val="minor"/>
      </rPr>
      <t>light red fill</t>
    </r>
    <r>
      <rPr>
        <sz val="11"/>
        <color theme="1"/>
        <rFont val="Aptos Narrow"/>
        <family val="2"/>
        <scheme val="minor"/>
      </rPr>
      <t>.</t>
    </r>
  </si>
  <si>
    <r>
      <t xml:space="preserve">Shade the </t>
    </r>
    <r>
      <rPr>
        <b/>
        <sz val="11"/>
        <color theme="1"/>
        <rFont val="Aptos Narrow"/>
        <family val="2"/>
        <scheme val="minor"/>
      </rPr>
      <t>Units column</t>
    </r>
    <r>
      <rPr>
        <sz val="11"/>
        <color theme="1"/>
        <rFont val="Aptos Narrow"/>
        <family val="2"/>
        <scheme val="minor"/>
      </rPr>
      <t xml:space="preserve"> with a </t>
    </r>
    <r>
      <rPr>
        <b/>
        <sz val="11"/>
        <color theme="1"/>
        <rFont val="Aptos Narrow"/>
        <family val="2"/>
        <scheme val="minor"/>
      </rPr>
      <t>green gradient</t>
    </r>
    <r>
      <rPr>
        <sz val="11"/>
        <color theme="1"/>
        <rFont val="Aptos Narrow"/>
        <family val="2"/>
        <scheme val="minor"/>
      </rPr>
      <t xml:space="preserve"> where higher units are darker and lower units are lighter.</t>
    </r>
  </si>
  <si>
    <r>
      <t xml:space="preserve">Highlight all </t>
    </r>
    <r>
      <rPr>
        <b/>
        <sz val="11"/>
        <color theme="1"/>
        <rFont val="Aptos Narrow"/>
        <family val="2"/>
        <scheme val="minor"/>
      </rPr>
      <t>orders from Japan (JP)</t>
    </r>
    <r>
      <rPr>
        <sz val="11"/>
        <color theme="1"/>
        <rFont val="Aptos Narrow"/>
        <family val="2"/>
        <scheme val="minor"/>
      </rPr>
      <t xml:space="preserve"> in </t>
    </r>
    <r>
      <rPr>
        <b/>
        <sz val="11"/>
        <color theme="1"/>
        <rFont val="Aptos Narrow"/>
        <family val="2"/>
        <scheme val="minor"/>
      </rPr>
      <t>blue fill</t>
    </r>
    <r>
      <rPr>
        <sz val="11"/>
        <color theme="1"/>
        <rFont val="Aptos Narrow"/>
        <family val="2"/>
        <scheme val="minor"/>
      </rPr>
      <t>.</t>
    </r>
  </si>
  <si>
    <r>
      <t xml:space="preserve">Use </t>
    </r>
    <r>
      <rPr>
        <b/>
        <sz val="11"/>
        <color theme="1"/>
        <rFont val="Aptos Narrow"/>
        <family val="2"/>
        <scheme val="minor"/>
      </rPr>
      <t>Data Bars</t>
    </r>
    <r>
      <rPr>
        <sz val="11"/>
        <color theme="1"/>
        <rFont val="Aptos Narrow"/>
        <family val="2"/>
        <scheme val="minor"/>
      </rPr>
      <t xml:space="preserve"> on </t>
    </r>
    <r>
      <rPr>
        <i/>
        <sz val="11"/>
        <color theme="1"/>
        <rFont val="Aptos Narrow"/>
        <family val="2"/>
        <scheme val="minor"/>
      </rPr>
      <t>Revenue</t>
    </r>
    <r>
      <rPr>
        <sz val="11"/>
        <color theme="1"/>
        <rFont val="Aptos Narrow"/>
        <family val="2"/>
        <scheme val="minor"/>
      </rPr>
      <t xml:space="preserve"> to quickly compare sales amounts across rows.</t>
    </r>
  </si>
  <si>
    <r>
      <t xml:space="preserve">Highlight rows where </t>
    </r>
    <r>
      <rPr>
        <b/>
        <sz val="11"/>
        <color theme="1"/>
        <rFont val="Aptos Narrow"/>
        <family val="2"/>
        <scheme val="minor"/>
      </rPr>
      <t>Units &lt; 80</t>
    </r>
    <r>
      <rPr>
        <sz val="11"/>
        <color theme="1"/>
        <rFont val="Aptos Narrow"/>
        <family val="2"/>
        <scheme val="minor"/>
      </rPr>
      <t xml:space="preserve"> in </t>
    </r>
    <r>
      <rPr>
        <b/>
        <sz val="11"/>
        <color theme="1"/>
        <rFont val="Aptos Narrow"/>
        <family val="2"/>
        <scheme val="minor"/>
      </rPr>
      <t>yellow</t>
    </r>
    <r>
      <rPr>
        <sz val="11"/>
        <color theme="1"/>
        <rFont val="Aptos Narrow"/>
        <family val="2"/>
        <scheme val="minor"/>
      </rPr>
      <t>.</t>
    </r>
  </si>
  <si>
    <r>
      <t xml:space="preserve">Mark orders from </t>
    </r>
    <r>
      <rPr>
        <b/>
        <sz val="11"/>
        <color theme="1"/>
        <rFont val="Aptos Narrow"/>
        <family val="2"/>
        <scheme val="minor"/>
      </rPr>
      <t>Female customers</t>
    </r>
    <r>
      <rPr>
        <sz val="11"/>
        <color theme="1"/>
        <rFont val="Aptos Narrow"/>
        <family val="2"/>
        <scheme val="minor"/>
      </rPr>
      <t xml:space="preserve"> with </t>
    </r>
    <r>
      <rPr>
        <b/>
        <sz val="11"/>
        <color theme="1"/>
        <rFont val="Aptos Narrow"/>
        <family val="2"/>
        <scheme val="minor"/>
      </rPr>
      <t>bold green font</t>
    </r>
    <r>
      <rPr>
        <sz val="11"/>
        <color theme="1"/>
        <rFont val="Aptos Narrow"/>
        <family val="2"/>
        <scheme val="minor"/>
      </rPr>
      <t>.</t>
    </r>
  </si>
  <si>
    <r>
      <t xml:space="preserve">Show an </t>
    </r>
    <r>
      <rPr>
        <b/>
        <sz val="11"/>
        <color theme="1"/>
        <rFont val="Aptos Narrow"/>
        <family val="2"/>
        <scheme val="minor"/>
      </rPr>
      <t>Icon Set</t>
    </r>
    <r>
      <rPr>
        <sz val="11"/>
        <color theme="1"/>
        <rFont val="Aptos Narrow"/>
        <family val="2"/>
        <scheme val="minor"/>
      </rPr>
      <t xml:space="preserve"> in the </t>
    </r>
    <r>
      <rPr>
        <i/>
        <sz val="11"/>
        <color theme="1"/>
        <rFont val="Aptos Narrow"/>
        <family val="2"/>
        <scheme val="minor"/>
      </rPr>
      <t>Revenue</t>
    </r>
    <r>
      <rPr>
        <sz val="11"/>
        <color theme="1"/>
        <rFont val="Aptos Narrow"/>
        <family val="2"/>
        <scheme val="minor"/>
      </rPr>
      <t xml:space="preserve"> column:</t>
    </r>
  </si>
  <si>
    <t>New</t>
  </si>
  <si>
    <t>Remark</t>
  </si>
  <si>
    <t>Sam</t>
  </si>
  <si>
    <t>Ana</t>
  </si>
  <si>
    <t>Alex</t>
  </si>
  <si>
    <t>John</t>
  </si>
  <si>
    <t>Mary</t>
  </si>
  <si>
    <t>Mike</t>
  </si>
  <si>
    <t>Jane</t>
  </si>
  <si>
    <t>Julia</t>
  </si>
  <si>
    <t>IF($C4&gt;35,"Pass","Fail")</t>
  </si>
  <si>
    <t>Grade A</t>
  </si>
  <si>
    <t>Grade B</t>
  </si>
  <si>
    <t>Grade C</t>
  </si>
  <si>
    <t>Fail</t>
  </si>
  <si>
    <t>multiple IF combined into one formula.</t>
  </si>
  <si>
    <t>&gt;35</t>
  </si>
  <si>
    <t>It checks conditions one by one (in order) until one is true.</t>
  </si>
  <si>
    <t>Grade / Remark</t>
  </si>
  <si>
    <t>IFS(condition1, result1, condition2, result2, condition3, result3, ...)</t>
  </si>
  <si>
    <t>IFS($C7&gt;$B$3,"A",$C7&gt;$C$3,"B",$C7&gt;D3,"C",$C7&lt;35,"Fail")</t>
  </si>
  <si>
    <t>Nested_IF</t>
  </si>
  <si>
    <t>IF(A2&gt;=90,"Grade A",IF(A2&gt;=60,"Grade B",IF(A2&gt;=35,"Grade C","Fail")))</t>
  </si>
  <si>
    <t>Order_ID</t>
  </si>
  <si>
    <t>It counts how many cells meet a condition.</t>
  </si>
  <si>
    <t>COUNTIF(range, criteria)</t>
  </si>
  <si>
    <t>COUNTIF($C2:$C31,G2)</t>
  </si>
  <si>
    <t>Sunday</t>
  </si>
  <si>
    <t>Mon</t>
  </si>
  <si>
    <t>Tues</t>
  </si>
  <si>
    <t>wed</t>
  </si>
  <si>
    <t>Fri</t>
  </si>
  <si>
    <t>Sat</t>
  </si>
  <si>
    <t>Sun</t>
  </si>
  <si>
    <t>Present</t>
  </si>
  <si>
    <t>Present-online</t>
  </si>
  <si>
    <t>Absent</t>
  </si>
  <si>
    <t>Sumit</t>
  </si>
  <si>
    <t>No Class</t>
  </si>
  <si>
    <t>Present-Online</t>
  </si>
  <si>
    <t xml:space="preserve"> </t>
  </si>
  <si>
    <t>Ram</t>
  </si>
  <si>
    <t>Shubham</t>
  </si>
  <si>
    <t>Ajit</t>
  </si>
  <si>
    <t>It adds (sums) the numbers only if they meet a certain condition.</t>
  </si>
  <si>
    <t>=SUMIF(range, criteria, [sum_range])</t>
  </si>
  <si>
    <t>Total</t>
  </si>
  <si>
    <t>SUMIF($A2:$A31,E2,$B2:$B31)</t>
  </si>
  <si>
    <t>FR91</t>
  </si>
  <si>
    <t>IT84</t>
  </si>
  <si>
    <t>Country_code</t>
  </si>
  <si>
    <t>FR84</t>
  </si>
  <si>
    <r>
      <t xml:space="preserve">Finds all names that </t>
    </r>
    <r>
      <rPr>
        <b/>
        <sz val="11"/>
        <color theme="1"/>
        <rFont val="Aptos Narrow"/>
        <family val="2"/>
        <scheme val="minor"/>
      </rPr>
      <t>start with J</t>
    </r>
  </si>
  <si>
    <t>UK84</t>
  </si>
  <si>
    <t>Start with F</t>
  </si>
  <si>
    <t>SUMIFS(Sum_Range, Text_Range1, Criteria1)</t>
  </si>
  <si>
    <t>JP82</t>
  </si>
  <si>
    <t>I</t>
  </si>
  <si>
    <t>SUMIFS($D$2:$D$31,$C$2:$C$31,"FR"&amp;"*")</t>
  </si>
  <si>
    <t>ES80</t>
  </si>
  <si>
    <t>FR80</t>
  </si>
  <si>
    <t>US80</t>
  </si>
  <si>
    <t>Wildcards are special symbols that help you find or match patterns in text. It’s useful when you don’t know the exact spelling or want to match patterns.</t>
  </si>
  <si>
    <t>JP80</t>
  </si>
  <si>
    <r>
      <t>Asterisk (\*)</t>
    </r>
    <r>
      <rPr>
        <sz val="10"/>
        <color rgb="FF001D35"/>
        <rFont val="Arial"/>
        <family val="2"/>
      </rPr>
      <t>:</t>
    </r>
    <r>
      <rPr>
        <b/>
        <sz val="10"/>
        <color rgb="FF001D35"/>
        <rFont val="Arial"/>
        <family val="2"/>
      </rPr>
      <t>Matches any sequence of characters</t>
    </r>
  </si>
  <si>
    <t>IT80</t>
  </si>
  <si>
    <t>JP76</t>
  </si>
  <si>
    <t>FR76</t>
  </si>
  <si>
    <t>IT76</t>
  </si>
  <si>
    <t>ES76</t>
  </si>
  <si>
    <t>US75</t>
  </si>
  <si>
    <t>JP75</t>
  </si>
  <si>
    <t>FR75</t>
  </si>
  <si>
    <t>JP87</t>
  </si>
  <si>
    <t>What is Conditional Formatting? Where is it used in real business dashboards?</t>
  </si>
  <si>
    <t>What is the difference between:
Highlight Cell Rules
Formula-based Conditional Formatting
Give one real example.</t>
  </si>
  <si>
    <t>Difference between:
Sort
Filter
Advanced Filter
When do companies use Advanced Filter?</t>
  </si>
  <si>
    <t>Difference between:</t>
  </si>
  <si>
    <t>SUM</t>
  </si>
  <si>
    <t>SUMIF</t>
  </si>
  <si>
    <t>SUMIFS</t>
  </si>
  <si>
    <t>What is a Pivot Table?</t>
  </si>
  <si>
    <t>Why do companies prefer Pivot over formulas?</t>
  </si>
  <si>
    <t>Calculated Field</t>
  </si>
  <si>
    <t>Calculated Item</t>
  </si>
  <si>
    <t>Why Calculated Item is not recommended?</t>
  </si>
  <si>
    <t>Difference between Pivot Chart and Normal Chart.</t>
  </si>
  <si>
    <t>VLOOKUP</t>
  </si>
  <si>
    <t>HLOOKUP</t>
  </si>
  <si>
    <t>XLOOKUP</t>
  </si>
  <si>
    <t>Why is XLOOKUP better?</t>
  </si>
  <si>
    <t>From Order Date:</t>
  </si>
  <si>
    <t>Extract Month</t>
  </si>
  <si>
    <t>Year</t>
  </si>
  <si>
    <t>Week Number</t>
  </si>
  <si>
    <t>Functions to be used?</t>
  </si>
  <si>
    <t>Clean messy customer names:</t>
  </si>
  <si>
    <t>Remove extra spaces</t>
  </si>
  <si>
    <t>Convert to Proper Case</t>
  </si>
  <si>
    <t>Extract last name</t>
  </si>
  <si>
    <t>Which Text functions will you use?</t>
  </si>
  <si>
    <t>Formating is given to dataset based on conditions, like top 10 product sales, in real business dashborad it used to compare different values and highlight required values, like sales greater than 300.</t>
  </si>
  <si>
    <t>highlight cell rules have prediefined conditions according to that it highlight data, but when we use formula based conditional formating we can create custom formula for according to our dataset, with the help for formula we can highlight cells according to our need.</t>
  </si>
  <si>
    <t>sort is used to sort data like ascending or descending we can also sort by using custom sort, we can add multiple layer of sorting using custom function.</t>
  </si>
  <si>
    <t>sum is used to sum numerical values in dataset, we can just select range or can also give values directly</t>
  </si>
  <si>
    <t>calculate sum according to a perticular condition, eg. Count girl students</t>
  </si>
  <si>
    <t xml:space="preserve">same as sumif, but we can use multiple conditions </t>
  </si>
  <si>
    <t>pivote table is used to summarize dataset, and we can easily find groups, counts, average, total.</t>
  </si>
  <si>
    <t>because pivote table is easy to use, time saving, formulas are inbuilt, summarize data quicky and efficiently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</si>
</sst>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13" x14ac:knownFonts="1">
    <font>
      <sz val="11"/>
      <color theme="1"/>
      <name val="Aptos Narrow"/>
      <family val="2"/>
      <scheme val="minor"/>
    </font>
    <font>
      <b/>
      <sz val="11"/>
      <color theme="1"/>
      <name val="Aptos Narrow"/>
      <family val="2"/>
      <scheme val="minor"/>
    </font>
    <font>
      <b/>
      <sz val="12"/>
      <color rgb="FFFFFFFF"/>
      <name val="Calibri"/>
      <family val="2"/>
    </font>
    <font>
      <sz val="12"/>
      <name val="Calibri"/>
      <family val="2"/>
    </font>
    <font>
      <i/>
      <sz val="11"/>
      <color theme="1"/>
      <name val="Aptos Narrow"/>
      <family val="2"/>
      <scheme val="minor"/>
    </font>
    <font>
      <sz val="12"/>
      <color rgb="FF000000"/>
      <name val="Calibri"/>
      <family val="2"/>
    </font>
    <font>
      <sz val="12"/>
      <color theme="1"/>
      <name val="Aptos Narrow"/>
      <family val="2"/>
      <scheme val="minor"/>
    </font>
    <font>
      <sz val="14"/>
      <color theme="1"/>
      <name val="Aptos Narrow"/>
      <family val="2"/>
      <scheme val="minor"/>
    </font>
    <font>
      <b/>
      <sz val="12"/>
      <color theme="1"/>
      <name val="Aptos Narrow"/>
      <family val="2"/>
      <scheme val="minor"/>
    </font>
    <font>
      <sz val="10"/>
      <color rgb="FF001D35"/>
      <name val="Arial"/>
      <family val="2"/>
    </font>
    <font>
      <b/>
      <sz val="10"/>
      <color rgb="FF001D35"/>
      <name val="Arial"/>
      <family val="2"/>
    </font>
    <font>
      <sz val="10"/>
      <color rgb="FF001D35"/>
      <name val="Courier New"/>
      <family val="3"/>
    </font>
    <font>
      <sz val="11"/>
      <color theme="1"/>
      <name val="Aptos Narrow"/>
      <family val="2"/>
      <scheme val="minor"/>
    </font>
  </fonts>
  <fills count="7">
    <fill>
      <patternFill patternType="none"/>
    </fill>
    <fill>
      <patternFill patternType="gray125"/>
    </fill>
    <fill>
      <patternFill patternType="solid">
        <fgColor rgb="FF4472C4"/>
        <bgColor rgb="FF000000"/>
      </patternFill>
    </fill>
    <fill>
      <patternFill patternType="solid">
        <fgColor rgb="FF073673"/>
        <bgColor rgb="FF000000"/>
      </patternFill>
    </fill>
    <fill>
      <patternFill patternType="solid">
        <fgColor theme="3" tint="0.89999084444715716"/>
        <bgColor indexed="64"/>
      </patternFill>
    </fill>
    <fill>
      <patternFill patternType="solid">
        <fgColor rgb="FFFFFF00"/>
        <bgColor indexed="64"/>
      </patternFill>
    </fill>
    <fill>
      <patternFill patternType="solid">
        <fgColor theme="3" tint="0.7499923703726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s>
  <cellStyleXfs count="2">
    <xf numFmtId="0" fontId="0" fillId="0" borderId="0"/>
    <xf numFmtId="164" fontId="12" fillId="0" borderId="0" applyFont="0" applyFill="0" applyBorder="0" applyAlignment="0" applyProtection="0"/>
  </cellStyleXfs>
  <cellXfs count="48">
    <xf numFmtId="0" fontId="0" fillId="0" borderId="0" xfId="0"/>
    <xf numFmtId="0" fontId="2" fillId="2" borderId="0" xfId="0" applyFont="1" applyFill="1" applyAlignment="1">
      <alignment horizontal="center" vertical="center" textRotation="24"/>
    </xf>
    <xf numFmtId="0" fontId="3" fillId="0" borderId="0" xfId="0" applyFont="1" applyAlignment="1">
      <alignment horizontal="center"/>
    </xf>
    <xf numFmtId="0" fontId="3" fillId="0" borderId="0" xfId="0" applyFont="1" applyAlignment="1">
      <alignment horizontal="left"/>
    </xf>
    <xf numFmtId="3" fontId="3" fillId="0" borderId="0" xfId="0" applyNumberFormat="1" applyFont="1" applyAlignment="1">
      <alignment horizontal="center"/>
    </xf>
    <xf numFmtId="14" fontId="3" fillId="0" borderId="0" xfId="0" applyNumberFormat="1" applyFont="1" applyAlignment="1">
      <alignment horizontal="center"/>
    </xf>
    <xf numFmtId="0" fontId="1" fillId="0" borderId="0" xfId="0" applyFont="1"/>
    <xf numFmtId="3" fontId="0" fillId="0" borderId="0" xfId="0" applyNumberFormat="1"/>
    <xf numFmtId="0" fontId="2" fillId="3" borderId="0" xfId="0" applyFont="1" applyFill="1" applyAlignment="1">
      <alignment horizontal="center" vertical="center" wrapText="1"/>
    </xf>
    <xf numFmtId="0" fontId="2" fillId="3" borderId="1" xfId="0" applyFont="1" applyFill="1" applyBorder="1" applyAlignment="1">
      <alignment horizontal="center" vertical="center"/>
    </xf>
    <xf numFmtId="0" fontId="0" fillId="0" borderId="1" xfId="0" applyBorder="1"/>
    <xf numFmtId="0" fontId="2" fillId="3" borderId="1" xfId="0" applyFont="1" applyFill="1" applyBorder="1" applyAlignment="1">
      <alignment horizontal="center" vertical="center" wrapText="1"/>
    </xf>
    <xf numFmtId="0" fontId="5" fillId="0" borderId="1" xfId="0" applyFont="1" applyBorder="1" applyAlignment="1">
      <alignment horizontal="center"/>
    </xf>
    <xf numFmtId="0" fontId="0" fillId="0" borderId="1" xfId="0" applyBorder="1" applyAlignment="1">
      <alignment horizontal="center"/>
    </xf>
    <xf numFmtId="0" fontId="6" fillId="4" borderId="1" xfId="0" applyFont="1" applyFill="1" applyBorder="1"/>
    <xf numFmtId="0" fontId="7" fillId="4" borderId="1" xfId="0" applyFont="1" applyFill="1" applyBorder="1"/>
    <xf numFmtId="0" fontId="0" fillId="0" borderId="0" xfId="0" applyAlignment="1">
      <alignment wrapText="1"/>
    </xf>
    <xf numFmtId="0" fontId="2" fillId="2" borderId="1" xfId="0" applyFont="1" applyFill="1" applyBorder="1" applyAlignment="1">
      <alignment horizontal="center" vertical="center" textRotation="24"/>
    </xf>
    <xf numFmtId="0" fontId="3" fillId="0" borderId="1" xfId="0" applyFont="1" applyBorder="1" applyAlignment="1">
      <alignment horizontal="center"/>
    </xf>
    <xf numFmtId="0" fontId="0" fillId="5" borderId="1" xfId="0" applyFill="1" applyBorder="1"/>
    <xf numFmtId="3" fontId="3" fillId="0" borderId="1" xfId="0" applyNumberFormat="1" applyFont="1" applyBorder="1" applyAlignment="1">
      <alignment horizontal="center"/>
    </xf>
    <xf numFmtId="0" fontId="0" fillId="6" borderId="1" xfId="0" applyFill="1" applyBorder="1"/>
    <xf numFmtId="0" fontId="6" fillId="6" borderId="1" xfId="0" applyFont="1" applyFill="1" applyBorder="1"/>
    <xf numFmtId="14" fontId="3" fillId="0" borderId="1" xfId="0" applyNumberFormat="1" applyFont="1" applyBorder="1" applyAlignment="1">
      <alignment horizontal="center"/>
    </xf>
    <xf numFmtId="0" fontId="8" fillId="6" borderId="1" xfId="0" applyFont="1" applyFill="1" applyBorder="1"/>
    <xf numFmtId="0" fontId="10" fillId="0" borderId="0" xfId="0" applyFont="1" applyAlignment="1">
      <alignment horizontal="left" vertical="center" wrapText="1"/>
    </xf>
    <xf numFmtId="0" fontId="11" fillId="0" borderId="0" xfId="0" applyFont="1" applyAlignment="1">
      <alignment vertical="center"/>
    </xf>
    <xf numFmtId="0" fontId="3" fillId="5" borderId="1" xfId="0" applyFont="1" applyFill="1" applyBorder="1" applyAlignment="1">
      <alignment horizontal="left"/>
    </xf>
    <xf numFmtId="165" fontId="0" fillId="0" borderId="0" xfId="1" applyNumberFormat="1" applyFont="1"/>
    <xf numFmtId="0" fontId="0" fillId="0" borderId="2" xfId="0" applyBorder="1"/>
    <xf numFmtId="2" fontId="0" fillId="0" borderId="0" xfId="0" applyNumberFormat="1"/>
    <xf numFmtId="0" fontId="3" fillId="0" borderId="2" xfId="0" applyFont="1" applyBorder="1" applyAlignment="1">
      <alignment horizontal="center"/>
    </xf>
    <xf numFmtId="0" fontId="0" fillId="0" borderId="2" xfId="0"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2" fontId="0" fillId="0" borderId="1" xfId="0" applyNumberFormat="1" applyBorder="1"/>
    <xf numFmtId="0" fontId="1" fillId="5" borderId="1" xfId="0" applyFont="1" applyFill="1" applyBorder="1" applyAlignment="1">
      <alignment horizontal="center" vertical="center"/>
    </xf>
    <xf numFmtId="0" fontId="0" fillId="5" borderId="1" xfId="0" applyFill="1" applyBorder="1" applyAlignment="1">
      <alignment horizontal="center" vertical="center"/>
    </xf>
    <xf numFmtId="0" fontId="10" fillId="5" borderId="0" xfId="0" applyFont="1" applyFill="1"/>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top"/>
    </xf>
    <xf numFmtId="0" fontId="2" fillId="3" borderId="0" xfId="0" applyFont="1" applyFill="1" applyAlignment="1">
      <alignment horizontal="center" vertical="center"/>
    </xf>
    <xf numFmtId="0" fontId="2" fillId="3" borderId="1" xfId="0" applyFont="1" applyFill="1" applyBorder="1" applyAlignment="1">
      <alignment horizontal="center" vertical="center"/>
    </xf>
  </cellXfs>
  <cellStyles count="2">
    <cellStyle name="Comma" xfId="1" builtinId="3"/>
    <cellStyle name="Normal" xfId="0" builtinId="0"/>
  </cellStyles>
  <dxfs count="80">
    <dxf>
      <fill>
        <patternFill>
          <bgColor theme="5" tint="0.59996337778862885"/>
        </patternFill>
      </fill>
    </dxf>
    <dxf>
      <fill>
        <patternFill>
          <bgColor theme="4" tint="0.39994506668294322"/>
        </patternFill>
      </fill>
    </dxf>
    <dxf>
      <fill>
        <patternFill>
          <bgColor theme="6" tint="0.59996337778862885"/>
        </patternFill>
      </fill>
    </dxf>
    <dxf>
      <fill>
        <patternFill>
          <bgColor theme="8" tint="0.59996337778862885"/>
        </patternFill>
      </fill>
    </dxf>
    <dxf>
      <fill>
        <patternFill>
          <bgColor theme="5" tint="0.59996337778862885"/>
        </patternFill>
      </fill>
    </dxf>
    <dxf>
      <fill>
        <patternFill>
          <bgColor theme="4" tint="0.39994506668294322"/>
        </patternFill>
      </fill>
    </dxf>
    <dxf>
      <fill>
        <patternFill>
          <bgColor theme="6" tint="0.59996337778862885"/>
        </patternFill>
      </fill>
    </dxf>
    <dxf>
      <fill>
        <patternFill>
          <bgColor theme="8" tint="0.59996337778862885"/>
        </patternFill>
      </fill>
    </dxf>
    <dxf>
      <fill>
        <patternFill>
          <bgColor theme="5" tint="0.59996337778862885"/>
        </patternFill>
      </fill>
    </dxf>
    <dxf>
      <fill>
        <patternFill>
          <bgColor theme="4" tint="0.39994506668294322"/>
        </patternFill>
      </fill>
    </dxf>
    <dxf>
      <fill>
        <patternFill>
          <bgColor theme="6" tint="0.59996337778862885"/>
        </patternFill>
      </fill>
    </dxf>
    <dxf>
      <fill>
        <patternFill>
          <bgColor theme="8" tint="0.59996337778862885"/>
        </patternFill>
      </fill>
    </dxf>
    <dxf>
      <fill>
        <patternFill>
          <bgColor theme="4" tint="0.59996337778862885"/>
        </patternFill>
      </fill>
    </dxf>
    <dxf>
      <fill>
        <patternFill>
          <bgColor theme="6" tint="0.59996337778862885"/>
        </patternFill>
      </fill>
    </dxf>
    <dxf>
      <fill>
        <patternFill>
          <bgColor theme="4" tint="0.39994506668294322"/>
        </patternFill>
      </fill>
    </dxf>
    <dxf>
      <fill>
        <patternFill>
          <bgColor theme="5" tint="0.59996337778862885"/>
        </patternFill>
      </fill>
    </dxf>
    <dxf>
      <fill>
        <patternFill>
          <bgColor theme="8" tint="0.59996337778862885"/>
        </patternFill>
      </fill>
    </dxf>
    <dxf>
      <fill>
        <patternFill>
          <bgColor theme="9" tint="0.39994506668294322"/>
        </patternFill>
      </fill>
    </dxf>
    <dxf>
      <fill>
        <patternFill>
          <bgColor theme="9" tint="0.59996337778862885"/>
        </patternFill>
      </fill>
    </dxf>
    <dxf>
      <fill>
        <patternFill>
          <bgColor theme="4" tint="0.39994506668294322"/>
        </patternFill>
      </fill>
    </dxf>
    <dxf>
      <fill>
        <patternFill>
          <bgColor theme="5" tint="0.59996337778862885"/>
        </patternFill>
      </fill>
    </dxf>
    <dxf>
      <fill>
        <patternFill>
          <bgColor theme="9" tint="0.59996337778862885"/>
        </patternFill>
      </fill>
    </dxf>
    <dxf>
      <fill>
        <patternFill>
          <bgColor theme="9" tint="0.39994506668294322"/>
        </patternFill>
      </fill>
    </dxf>
    <dxf>
      <fill>
        <patternFill>
          <bgColor theme="8" tint="0.59996337778862885"/>
        </patternFill>
      </fill>
    </dxf>
    <dxf>
      <fill>
        <patternFill>
          <bgColor theme="6" tint="0.59996337778862885"/>
        </patternFill>
      </fill>
    </dxf>
    <dxf>
      <fill>
        <patternFill>
          <bgColor theme="5" tint="0.59996337778862885"/>
        </patternFill>
      </fill>
    </dxf>
    <dxf>
      <fill>
        <patternFill>
          <bgColor theme="4" tint="0.39994506668294322"/>
        </patternFill>
      </fill>
    </dxf>
    <dxf>
      <fill>
        <patternFill>
          <bgColor theme="5" tint="0.59996337778862885"/>
        </patternFill>
      </fill>
    </dxf>
    <dxf>
      <fill>
        <patternFill>
          <bgColor theme="6" tint="0.59996337778862885"/>
        </patternFill>
      </fill>
    </dxf>
    <dxf>
      <fill>
        <patternFill>
          <bgColor theme="4" tint="0.39994506668294322"/>
        </patternFill>
      </fill>
    </dxf>
    <dxf>
      <fill>
        <patternFill>
          <bgColor theme="9" tint="0.59996337778862885"/>
        </patternFill>
      </fill>
    </dxf>
    <dxf>
      <fill>
        <patternFill>
          <bgColor theme="8" tint="0.59996337778862885"/>
        </patternFill>
      </fill>
    </dxf>
    <dxf>
      <fill>
        <patternFill>
          <bgColor theme="9" tint="0.39994506668294322"/>
        </patternFill>
      </fill>
    </dxf>
    <dxf>
      <fill>
        <patternFill>
          <bgColor theme="5" tint="0.59996337778862885"/>
        </patternFill>
      </fill>
    </dxf>
    <dxf>
      <fill>
        <patternFill>
          <bgColor theme="4" tint="0.39994506668294322"/>
        </patternFill>
      </fill>
    </dxf>
    <dxf>
      <fill>
        <patternFill>
          <bgColor theme="6" tint="0.59996337778862885"/>
        </patternFill>
      </fill>
    </dxf>
    <dxf>
      <fill>
        <patternFill>
          <bgColor theme="4" tint="0.39994506668294322"/>
        </patternFill>
      </fill>
    </dxf>
    <dxf>
      <fill>
        <patternFill>
          <bgColor theme="5" tint="0.59996337778862885"/>
        </patternFill>
      </fill>
    </dxf>
    <dxf>
      <fill>
        <patternFill>
          <bgColor theme="6" tint="0.59996337778862885"/>
        </patternFill>
      </fill>
    </dxf>
    <dxf>
      <fill>
        <patternFill>
          <bgColor theme="9" tint="0.39994506668294322"/>
        </patternFill>
      </fill>
    </dxf>
    <dxf>
      <fill>
        <patternFill>
          <bgColor theme="9" tint="0.59996337778862885"/>
        </patternFill>
      </fill>
    </dxf>
    <dxf>
      <fill>
        <patternFill>
          <bgColor theme="8" tint="0.59996337778862885"/>
        </patternFill>
      </fill>
    </dxf>
    <dxf>
      <fill>
        <patternFill>
          <bgColor theme="5" tint="0.59996337778862885"/>
        </patternFill>
      </fill>
    </dxf>
    <dxf>
      <fill>
        <patternFill>
          <bgColor theme="4" tint="0.39994506668294322"/>
        </patternFill>
      </fill>
    </dxf>
    <dxf>
      <fill>
        <patternFill>
          <bgColor theme="5" tint="0.59996337778862885"/>
        </patternFill>
      </fill>
    </dxf>
    <dxf>
      <fill>
        <patternFill>
          <bgColor theme="4" tint="0.39994506668294322"/>
        </patternFill>
      </fill>
    </dxf>
    <dxf>
      <fill>
        <patternFill>
          <bgColor theme="6" tint="0.59996337778862885"/>
        </patternFill>
      </fill>
    </dxf>
    <dxf>
      <fill>
        <patternFill>
          <bgColor theme="6" tint="0.59996337778862885"/>
        </patternFill>
      </fill>
    </dxf>
    <dxf>
      <fill>
        <patternFill>
          <bgColor theme="8" tint="0.59996337778862885"/>
        </patternFill>
      </fill>
    </dxf>
    <dxf>
      <fill>
        <patternFill>
          <bgColor theme="9" tint="0.39994506668294322"/>
        </patternFill>
      </fill>
    </dxf>
    <dxf>
      <fill>
        <patternFill>
          <bgColor theme="9" tint="0.59996337778862885"/>
        </patternFill>
      </fill>
    </dxf>
    <dxf>
      <fill>
        <patternFill>
          <bgColor theme="4" tint="0.39994506668294322"/>
        </patternFill>
      </fill>
    </dxf>
    <dxf>
      <fill>
        <patternFill>
          <bgColor theme="5" tint="0.59996337778862885"/>
        </patternFill>
      </fill>
    </dxf>
    <dxf>
      <fill>
        <patternFill>
          <bgColor theme="5" tint="0.59996337778862885"/>
        </patternFill>
      </fill>
    </dxf>
    <dxf>
      <fill>
        <patternFill>
          <bgColor theme="4" tint="0.39994506668294322"/>
        </patternFill>
      </fill>
    </dxf>
    <dxf>
      <fill>
        <patternFill>
          <bgColor theme="6" tint="0.59996337778862885"/>
        </patternFill>
      </fill>
    </dxf>
    <dxf>
      <fill>
        <patternFill>
          <bgColor theme="9" tint="0.59996337778862885"/>
        </patternFill>
      </fill>
    </dxf>
    <dxf>
      <fill>
        <patternFill>
          <bgColor theme="8" tint="0.59996337778862885"/>
        </patternFill>
      </fill>
    </dxf>
    <dxf>
      <fill>
        <patternFill>
          <bgColor theme="9" tint="0.39994506668294322"/>
        </patternFill>
      </fill>
    </dxf>
    <dxf>
      <fill>
        <patternFill>
          <bgColor theme="5" tint="0.59996337778862885"/>
        </patternFill>
      </fill>
    </dxf>
    <dxf>
      <fill>
        <patternFill>
          <bgColor theme="4" tint="0.39994506668294322"/>
        </patternFill>
      </fill>
    </dxf>
    <dxf>
      <fill>
        <patternFill>
          <bgColor theme="6" tint="0.59996337778862885"/>
        </patternFill>
      </fill>
    </dxf>
    <dxf>
      <fill>
        <patternFill>
          <bgColor theme="8" tint="0.59996337778862885"/>
        </patternFill>
      </fill>
    </dxf>
    <dxf>
      <fill>
        <patternFill>
          <bgColor theme="9" tint="0.39994506668294322"/>
        </patternFill>
      </fill>
    </dxf>
    <dxf>
      <fill>
        <patternFill>
          <bgColor theme="9" tint="0.59996337778862885"/>
        </patternFill>
      </fill>
    </dxf>
    <dxf>
      <fill>
        <patternFill>
          <bgColor theme="9" tint="-0.24994659260841701"/>
        </patternFill>
      </fill>
    </dxf>
    <dxf>
      <fill>
        <patternFill>
          <bgColor theme="7" tint="0.39994506668294322"/>
        </patternFill>
      </fill>
    </dxf>
    <dxf>
      <fill>
        <patternFill>
          <bgColor theme="6" tint="-0.24994659260841701"/>
        </patternFill>
      </fill>
    </dxf>
    <dxf>
      <fill>
        <patternFill>
          <bgColor theme="8" tint="-0.24994659260841701"/>
        </patternFill>
      </fill>
    </dxf>
    <dxf>
      <fill>
        <patternFill>
          <bgColor theme="5" tint="0.39994506668294322"/>
        </patternFill>
      </fill>
    </dxf>
    <dxf>
      <fill>
        <patternFill>
          <bgColor theme="8" tint="0.39994506668294322"/>
        </patternFill>
      </fill>
    </dxf>
    <dxf>
      <fill>
        <patternFill>
          <bgColor theme="4" tint="0.39994506668294322"/>
        </patternFill>
      </fill>
    </dxf>
    <dxf>
      <fill>
        <patternFill>
          <bgColor theme="9" tint="0.39994506668294322"/>
        </patternFill>
      </fill>
    </dxf>
    <dxf>
      <fill>
        <patternFill>
          <bgColor theme="9" tint="0.59996337778862885"/>
        </patternFill>
      </fill>
    </dxf>
    <dxf>
      <fill>
        <patternFill>
          <bgColor theme="9" tint="0.39994506668294322"/>
        </patternFill>
      </fill>
    </dxf>
    <dxf>
      <fill>
        <patternFill>
          <bgColor theme="8" tint="0.59996337778862885"/>
        </patternFill>
      </fill>
    </dxf>
    <dxf>
      <fill>
        <patternFill>
          <bgColor theme="6" tint="0.59996337778862885"/>
        </patternFill>
      </fill>
    </dxf>
    <dxf>
      <fill>
        <patternFill>
          <bgColor theme="4" tint="0.39994506668294322"/>
        </patternFill>
      </fill>
    </dxf>
    <dxf>
      <fill>
        <patternFill>
          <bgColor theme="5" tint="0.59996337778862885"/>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24</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8DA1-D2BB-4ACE-8AFC-02E4C0BE7846}">
  <dimension ref="A1:O31"/>
  <sheetViews>
    <sheetView zoomScale="73" zoomScaleNormal="130" workbookViewId="0"/>
  </sheetViews>
  <sheetFormatPr defaultRowHeight="14.5" x14ac:dyDescent="0.35"/>
  <cols>
    <col min="1" max="1" width="9.453125" bestFit="1" customWidth="1"/>
    <col min="2" max="2" width="19.1796875" bestFit="1" customWidth="1"/>
    <col min="3" max="3" width="18.54296875" bestFit="1" customWidth="1"/>
    <col min="4" max="4" width="8.453125" bestFit="1" customWidth="1"/>
    <col min="5" max="5" width="9" bestFit="1" customWidth="1"/>
    <col min="6" max="6" width="6.7265625" bestFit="1" customWidth="1"/>
    <col min="7" max="7" width="14.54296875" bestFit="1" customWidth="1"/>
    <col min="8" max="8" width="9.453125" bestFit="1" customWidth="1"/>
    <col min="9" max="9" width="14.7265625" bestFit="1" customWidth="1"/>
    <col min="10" max="10" width="11.453125" bestFit="1" customWidth="1"/>
    <col min="11" max="11" width="11.7265625" bestFit="1" customWidth="1"/>
    <col min="12" max="13" width="14.7265625" bestFit="1" customWidth="1"/>
  </cols>
  <sheetData>
    <row r="1" spans="1:15" ht="45" x14ac:dyDescent="0.35">
      <c r="A1" s="1" t="s">
        <v>0</v>
      </c>
      <c r="B1" s="1" t="s">
        <v>1</v>
      </c>
      <c r="C1" s="1" t="s">
        <v>2</v>
      </c>
      <c r="D1" s="1" t="s">
        <v>3</v>
      </c>
      <c r="E1" s="1" t="s">
        <v>4</v>
      </c>
      <c r="F1" s="1" t="s">
        <v>5</v>
      </c>
      <c r="G1" s="1" t="s">
        <v>6</v>
      </c>
      <c r="H1" s="1" t="s">
        <v>7</v>
      </c>
    </row>
    <row r="2" spans="1:15" ht="15.5" x14ac:dyDescent="0.35">
      <c r="A2" s="2">
        <v>10507</v>
      </c>
      <c r="B2" s="5" t="s">
        <v>8</v>
      </c>
      <c r="C2" s="3" t="s">
        <v>9</v>
      </c>
      <c r="D2" s="2" t="s">
        <v>10</v>
      </c>
      <c r="E2" s="2" t="s">
        <v>11</v>
      </c>
      <c r="F2" s="2">
        <v>91</v>
      </c>
      <c r="G2" s="2" t="str">
        <f>_xlfn.CONCAT(E2,F2)</f>
        <v>FR91</v>
      </c>
      <c r="H2" s="4">
        <v>36400</v>
      </c>
      <c r="K2" s="3"/>
      <c r="O2" s="19" t="s">
        <v>12</v>
      </c>
    </row>
    <row r="3" spans="1:15" ht="15.5" x14ac:dyDescent="0.35">
      <c r="A3" s="2">
        <v>10534</v>
      </c>
      <c r="B3" s="5" t="s">
        <v>13</v>
      </c>
      <c r="C3" s="3" t="s">
        <v>14</v>
      </c>
      <c r="D3" s="2" t="s">
        <v>10</v>
      </c>
      <c r="E3" s="2" t="s">
        <v>15</v>
      </c>
      <c r="F3" s="2">
        <v>84</v>
      </c>
      <c r="G3" s="2" t="str">
        <f t="shared" ref="G3:G31" si="0">_xlfn.CONCAT(E3,F3)</f>
        <v>IT84</v>
      </c>
      <c r="H3" s="4">
        <v>33440</v>
      </c>
      <c r="I3" s="10"/>
      <c r="J3" s="19" t="str" cm="1">
        <f t="array" ref="J3:M3">TRANSPOSE(C2:C5)</f>
        <v>Janet Murphy</v>
      </c>
      <c r="K3" s="27" t="str">
        <v>Janice Clark</v>
      </c>
      <c r="L3" s="19" t="str">
        <v>Charlotte Walker</v>
      </c>
      <c r="M3" s="19" t="str">
        <v>Natalie Robinson</v>
      </c>
      <c r="O3" s="19" t="s">
        <v>16</v>
      </c>
    </row>
    <row r="4" spans="1:15" ht="15.5" x14ac:dyDescent="0.35">
      <c r="A4" s="2">
        <v>10537</v>
      </c>
      <c r="B4" s="5" t="s">
        <v>17</v>
      </c>
      <c r="C4" s="3" t="s">
        <v>18</v>
      </c>
      <c r="D4" s="2" t="s">
        <v>10</v>
      </c>
      <c r="E4" s="2" t="s">
        <v>11</v>
      </c>
      <c r="F4" s="2">
        <v>84</v>
      </c>
      <c r="G4" s="2" t="str">
        <f t="shared" si="0"/>
        <v>FR84</v>
      </c>
      <c r="H4" s="4">
        <v>26752</v>
      </c>
      <c r="I4" s="19">
        <v>2012</v>
      </c>
      <c r="J4" s="20">
        <v>36400</v>
      </c>
      <c r="K4" s="20">
        <v>20000</v>
      </c>
      <c r="L4" s="20">
        <v>31840</v>
      </c>
      <c r="M4" s="20">
        <v>36400</v>
      </c>
    </row>
    <row r="5" spans="1:15" ht="15.5" x14ac:dyDescent="0.35">
      <c r="A5" s="2">
        <v>10538</v>
      </c>
      <c r="B5" s="5" t="s">
        <v>17</v>
      </c>
      <c r="C5" s="3" t="s">
        <v>19</v>
      </c>
      <c r="D5" s="2" t="s">
        <v>10</v>
      </c>
      <c r="E5" s="2" t="s">
        <v>11</v>
      </c>
      <c r="F5" s="2">
        <v>84</v>
      </c>
      <c r="G5" s="2" t="str">
        <f t="shared" si="0"/>
        <v>FR84</v>
      </c>
      <c r="H5" s="4">
        <v>26752</v>
      </c>
      <c r="I5" s="19">
        <v>2013</v>
      </c>
      <c r="J5" s="20">
        <v>25600</v>
      </c>
      <c r="K5" s="20">
        <v>25600</v>
      </c>
      <c r="L5" s="20">
        <v>31840</v>
      </c>
      <c r="M5" s="20">
        <v>31840</v>
      </c>
    </row>
    <row r="6" spans="1:15" ht="15.5" x14ac:dyDescent="0.35">
      <c r="A6" s="2">
        <v>10542</v>
      </c>
      <c r="B6" s="5" t="s">
        <v>17</v>
      </c>
      <c r="C6" s="3" t="s">
        <v>20</v>
      </c>
      <c r="D6" s="2" t="s">
        <v>10</v>
      </c>
      <c r="E6" s="2" t="s">
        <v>15</v>
      </c>
      <c r="F6" s="2">
        <v>84</v>
      </c>
      <c r="G6" s="2" t="str">
        <f t="shared" si="0"/>
        <v>IT84</v>
      </c>
      <c r="H6" s="4">
        <v>33440</v>
      </c>
      <c r="I6" s="19">
        <v>2014</v>
      </c>
      <c r="J6" s="20">
        <v>20000</v>
      </c>
      <c r="K6" s="20">
        <v>36400</v>
      </c>
      <c r="L6" s="20">
        <v>36400</v>
      </c>
      <c r="M6" s="20">
        <v>25600</v>
      </c>
    </row>
    <row r="7" spans="1:15" ht="15.5" x14ac:dyDescent="0.35">
      <c r="A7" s="2">
        <v>105406</v>
      </c>
      <c r="B7" s="5">
        <v>45415</v>
      </c>
      <c r="C7" s="3" t="s">
        <v>21</v>
      </c>
      <c r="D7" s="2" t="s">
        <v>22</v>
      </c>
      <c r="E7" s="2" t="s">
        <v>23</v>
      </c>
      <c r="F7" s="2">
        <v>84</v>
      </c>
      <c r="G7" s="2" t="str">
        <f t="shared" si="0"/>
        <v>UK84</v>
      </c>
      <c r="H7" s="4">
        <v>20900</v>
      </c>
      <c r="I7" s="19">
        <v>2015</v>
      </c>
      <c r="J7" s="20">
        <v>26752</v>
      </c>
      <c r="K7" s="20">
        <v>25600</v>
      </c>
      <c r="L7" s="20">
        <v>36400</v>
      </c>
      <c r="M7" s="20">
        <v>20000</v>
      </c>
    </row>
    <row r="8" spans="1:15" ht="15.5" x14ac:dyDescent="0.35">
      <c r="A8" s="2">
        <v>10485</v>
      </c>
      <c r="B8" s="5">
        <v>45415</v>
      </c>
      <c r="C8" s="3" t="s">
        <v>24</v>
      </c>
      <c r="D8" s="2" t="s">
        <v>10</v>
      </c>
      <c r="E8" s="2" t="s">
        <v>16</v>
      </c>
      <c r="F8" s="2">
        <v>82</v>
      </c>
      <c r="G8" s="2" t="str">
        <f t="shared" si="0"/>
        <v>JP82</v>
      </c>
      <c r="H8" s="4">
        <v>26240</v>
      </c>
      <c r="I8" s="19">
        <v>2016</v>
      </c>
      <c r="J8" s="20">
        <v>36400</v>
      </c>
      <c r="K8" s="20">
        <v>20000</v>
      </c>
      <c r="L8" s="20">
        <v>25600</v>
      </c>
      <c r="M8" s="20">
        <v>20000</v>
      </c>
    </row>
    <row r="9" spans="1:15" ht="15.5" x14ac:dyDescent="0.35">
      <c r="A9" s="2">
        <v>10453</v>
      </c>
      <c r="B9" s="5">
        <v>45415</v>
      </c>
      <c r="C9" s="3" t="s">
        <v>25</v>
      </c>
      <c r="D9" s="2" t="s">
        <v>22</v>
      </c>
      <c r="E9" s="2" t="s">
        <v>26</v>
      </c>
      <c r="F9" s="2">
        <v>80</v>
      </c>
      <c r="G9" s="2" t="str">
        <f t="shared" si="0"/>
        <v>ES80</v>
      </c>
      <c r="H9" s="4">
        <v>20000</v>
      </c>
      <c r="K9" s="2"/>
    </row>
    <row r="10" spans="1:15" ht="15.5" x14ac:dyDescent="0.35">
      <c r="A10" s="2">
        <v>10477</v>
      </c>
      <c r="B10" s="5">
        <v>45415</v>
      </c>
      <c r="C10" s="3" t="s">
        <v>27</v>
      </c>
      <c r="D10" s="2" t="s">
        <v>22</v>
      </c>
      <c r="E10" s="2" t="s">
        <v>11</v>
      </c>
      <c r="F10" s="2">
        <v>80</v>
      </c>
      <c r="G10" s="2" t="str">
        <f t="shared" si="0"/>
        <v>FR80</v>
      </c>
      <c r="H10" s="4">
        <v>12000</v>
      </c>
      <c r="K10" s="2"/>
    </row>
    <row r="11" spans="1:15" ht="15.5" x14ac:dyDescent="0.35">
      <c r="A11" s="2">
        <v>10486</v>
      </c>
      <c r="B11" s="5">
        <v>45357</v>
      </c>
      <c r="C11" s="3" t="s">
        <v>28</v>
      </c>
      <c r="D11" s="2" t="s">
        <v>22</v>
      </c>
      <c r="E11" s="2" t="s">
        <v>29</v>
      </c>
      <c r="F11" s="2">
        <v>80</v>
      </c>
      <c r="G11" s="2" t="str">
        <f t="shared" si="0"/>
        <v>US80</v>
      </c>
      <c r="H11" s="4">
        <v>12000</v>
      </c>
      <c r="I11" s="10" t="s">
        <v>2</v>
      </c>
      <c r="J11" s="10">
        <v>2012</v>
      </c>
      <c r="K11" s="10">
        <v>2013</v>
      </c>
      <c r="L11" s="10">
        <v>2014</v>
      </c>
      <c r="M11" s="10">
        <v>2015</v>
      </c>
    </row>
    <row r="12" spans="1:15" ht="15.5" x14ac:dyDescent="0.35">
      <c r="A12" s="2">
        <v>10490</v>
      </c>
      <c r="B12" s="5" t="s">
        <v>17</v>
      </c>
      <c r="C12" s="3" t="s">
        <v>30</v>
      </c>
      <c r="D12" s="2" t="s">
        <v>22</v>
      </c>
      <c r="E12" s="2" t="s">
        <v>16</v>
      </c>
      <c r="F12" s="2">
        <v>80</v>
      </c>
      <c r="G12" s="2" t="str">
        <f t="shared" si="0"/>
        <v>JP80</v>
      </c>
      <c r="H12" s="4">
        <v>12000</v>
      </c>
      <c r="I12" s="10" t="s">
        <v>14</v>
      </c>
      <c r="J12" s="10">
        <f>HLOOKUP($I12,$I$3:$M$8,2,FALSE)</f>
        <v>20000</v>
      </c>
      <c r="K12" s="10">
        <f>HLOOKUP($I12,$I$3:$M$8,3,FALSE)</f>
        <v>25600</v>
      </c>
      <c r="L12" s="10">
        <f>HLOOKUP($I12,$I$3:$M$8,4,FALSE)</f>
        <v>36400</v>
      </c>
      <c r="M12" s="10">
        <f>HLOOKUP($I12,$I$3:$M$8,5,FALSE)</f>
        <v>25600</v>
      </c>
    </row>
    <row r="13" spans="1:15" ht="15.5" x14ac:dyDescent="0.35">
      <c r="A13" s="2">
        <v>10502</v>
      </c>
      <c r="B13" s="5" t="s">
        <v>31</v>
      </c>
      <c r="C13" s="3" t="s">
        <v>32</v>
      </c>
      <c r="D13" s="2" t="s">
        <v>22</v>
      </c>
      <c r="E13" s="2" t="s">
        <v>26</v>
      </c>
      <c r="F13" s="2">
        <v>80</v>
      </c>
      <c r="G13" s="2" t="str">
        <f t="shared" si="0"/>
        <v>ES80</v>
      </c>
      <c r="H13" s="4">
        <v>25600</v>
      </c>
      <c r="K13" s="7"/>
    </row>
    <row r="14" spans="1:15" ht="15.5" x14ac:dyDescent="0.35">
      <c r="A14" s="2">
        <v>10523</v>
      </c>
      <c r="B14" s="5">
        <v>45634</v>
      </c>
      <c r="C14" s="3" t="s">
        <v>33</v>
      </c>
      <c r="D14" s="2" t="s">
        <v>10</v>
      </c>
      <c r="E14" s="2" t="s">
        <v>16</v>
      </c>
      <c r="F14" s="2">
        <v>80</v>
      </c>
      <c r="G14" s="2" t="str">
        <f t="shared" si="0"/>
        <v>JP80</v>
      </c>
      <c r="H14" s="4">
        <v>32000</v>
      </c>
      <c r="I14" s="3" t="s">
        <v>24</v>
      </c>
      <c r="J14" t="str">
        <f>_xlfn.XLOOKUP(I14,C2:C31,D2:D31,"Not in List")</f>
        <v>Female</v>
      </c>
    </row>
    <row r="15" spans="1:15" ht="15.5" x14ac:dyDescent="0.35">
      <c r="A15" s="2">
        <v>10525</v>
      </c>
      <c r="B15" s="5">
        <v>45576</v>
      </c>
      <c r="C15" s="3" t="s">
        <v>34</v>
      </c>
      <c r="D15" s="2" t="s">
        <v>10</v>
      </c>
      <c r="E15" s="2" t="s">
        <v>26</v>
      </c>
      <c r="F15" s="2">
        <v>80</v>
      </c>
      <c r="G15" s="2" t="str">
        <f t="shared" si="0"/>
        <v>ES80</v>
      </c>
      <c r="H15" s="4">
        <v>25536</v>
      </c>
      <c r="I15" s="3" t="s">
        <v>33</v>
      </c>
      <c r="J15" s="28">
        <f>INDEX(H2:H31,MATCH(I15,C2:C31,0))</f>
        <v>32000</v>
      </c>
      <c r="K15" t="str">
        <f>INDEX($D$2:$D$31,MATCH(I15,C2:C31,0))</f>
        <v>Female</v>
      </c>
      <c r="L15" t="str">
        <f>INDEX($E$2:$E$31,MATCH(I15,C2:C31,0))</f>
        <v>JP</v>
      </c>
    </row>
    <row r="16" spans="1:15" ht="15.5" x14ac:dyDescent="0.35">
      <c r="A16" s="2">
        <v>10535</v>
      </c>
      <c r="B16" s="5">
        <v>45871</v>
      </c>
      <c r="C16" s="3" t="s">
        <v>35</v>
      </c>
      <c r="D16" s="2" t="s">
        <v>10</v>
      </c>
      <c r="E16" s="2" t="s">
        <v>15</v>
      </c>
      <c r="F16" s="2">
        <v>80</v>
      </c>
      <c r="G16" s="2" t="str">
        <f t="shared" si="0"/>
        <v>IT80</v>
      </c>
      <c r="H16" s="4">
        <v>31840</v>
      </c>
      <c r="I16" s="3" t="s">
        <v>34</v>
      </c>
      <c r="J16" s="28">
        <f>INDEX(H3:H32,MATCH(I16,C3:C32,0))</f>
        <v>25536</v>
      </c>
      <c r="K16" t="str">
        <f>INDEX($D$2:$D$31,MATCH(I16,C3:C32,0))</f>
        <v>Female</v>
      </c>
      <c r="L16" t="str">
        <f t="shared" ref="L16" si="1">INDEX($E$2:$E$31,MATCH(I16,C3:C32,0))</f>
        <v>JP</v>
      </c>
    </row>
    <row r="17" spans="1:13" ht="15.5" x14ac:dyDescent="0.35">
      <c r="A17" s="2">
        <v>10461</v>
      </c>
      <c r="B17" s="5">
        <v>45905</v>
      </c>
      <c r="C17" s="3" t="s">
        <v>36</v>
      </c>
      <c r="D17" s="2" t="s">
        <v>22</v>
      </c>
      <c r="E17" s="2" t="s">
        <v>16</v>
      </c>
      <c r="F17" s="2">
        <v>76</v>
      </c>
      <c r="G17" s="2" t="str">
        <f t="shared" si="0"/>
        <v>JP76</v>
      </c>
      <c r="H17" s="4">
        <v>30400</v>
      </c>
    </row>
    <row r="18" spans="1:13" ht="15.5" x14ac:dyDescent="0.35">
      <c r="A18" s="2">
        <v>10506</v>
      </c>
      <c r="B18" s="5">
        <v>45846</v>
      </c>
      <c r="C18" s="3" t="s">
        <v>37</v>
      </c>
      <c r="D18" s="2" t="s">
        <v>10</v>
      </c>
      <c r="E18" s="2" t="s">
        <v>11</v>
      </c>
      <c r="F18" s="2">
        <v>76</v>
      </c>
      <c r="G18" s="2" t="str">
        <f t="shared" si="0"/>
        <v>FR76</v>
      </c>
      <c r="H18" s="4">
        <v>11400</v>
      </c>
    </row>
    <row r="19" spans="1:13" ht="15.5" x14ac:dyDescent="0.35">
      <c r="A19" s="2">
        <v>10531</v>
      </c>
      <c r="B19" s="5" t="s">
        <v>38</v>
      </c>
      <c r="C19" s="3" t="s">
        <v>39</v>
      </c>
      <c r="D19" s="2" t="s">
        <v>10</v>
      </c>
      <c r="E19" s="2" t="s">
        <v>15</v>
      </c>
      <c r="F19" s="2">
        <v>76</v>
      </c>
      <c r="G19" s="2" t="str">
        <f t="shared" si="0"/>
        <v>IT76</v>
      </c>
      <c r="H19" s="4">
        <v>30400</v>
      </c>
      <c r="J19" t="s">
        <v>40</v>
      </c>
      <c r="K19" t="s">
        <v>41</v>
      </c>
      <c r="L19" t="s">
        <v>42</v>
      </c>
      <c r="M19" t="s">
        <v>43</v>
      </c>
    </row>
    <row r="20" spans="1:13" ht="15.5" x14ac:dyDescent="0.35">
      <c r="A20" s="2">
        <v>10536</v>
      </c>
      <c r="B20" s="5" t="s">
        <v>44</v>
      </c>
      <c r="C20" s="3" t="s">
        <v>45</v>
      </c>
      <c r="D20" s="2" t="s">
        <v>10</v>
      </c>
      <c r="E20" s="2" t="s">
        <v>11</v>
      </c>
      <c r="F20" s="2">
        <v>76</v>
      </c>
      <c r="G20" s="2" t="str">
        <f t="shared" si="0"/>
        <v>FR76</v>
      </c>
      <c r="H20" s="4">
        <v>11400</v>
      </c>
    </row>
    <row r="21" spans="1:13" ht="15.5" x14ac:dyDescent="0.35">
      <c r="A21" s="2">
        <v>10541</v>
      </c>
      <c r="B21" s="5">
        <v>45420</v>
      </c>
      <c r="C21" s="3" t="s">
        <v>46</v>
      </c>
      <c r="D21" s="2" t="s">
        <v>10</v>
      </c>
      <c r="E21" s="2" t="s">
        <v>15</v>
      </c>
      <c r="F21" s="2">
        <v>76</v>
      </c>
      <c r="G21" s="2" t="str">
        <f t="shared" si="0"/>
        <v>IT76</v>
      </c>
      <c r="H21" s="4">
        <v>24320</v>
      </c>
    </row>
    <row r="22" spans="1:13" ht="15.5" x14ac:dyDescent="0.35">
      <c r="A22" s="2">
        <v>10546</v>
      </c>
      <c r="B22" s="5" t="s">
        <v>47</v>
      </c>
      <c r="C22" s="3" t="s">
        <v>48</v>
      </c>
      <c r="D22" s="2" t="s">
        <v>22</v>
      </c>
      <c r="E22" s="2" t="s">
        <v>16</v>
      </c>
      <c r="F22" s="2">
        <v>76</v>
      </c>
      <c r="G22" s="2" t="str">
        <f t="shared" si="0"/>
        <v>JP76</v>
      </c>
      <c r="H22" s="4">
        <v>24320</v>
      </c>
    </row>
    <row r="23" spans="1:13" ht="15.5" x14ac:dyDescent="0.35">
      <c r="A23" s="2">
        <v>10501</v>
      </c>
      <c r="B23" s="5" t="s">
        <v>49</v>
      </c>
      <c r="C23" s="3" t="s">
        <v>50</v>
      </c>
      <c r="D23" s="2" t="s">
        <v>22</v>
      </c>
      <c r="E23" s="2" t="s">
        <v>26</v>
      </c>
      <c r="F23" s="2">
        <v>76</v>
      </c>
      <c r="G23" s="2" t="str">
        <f t="shared" si="0"/>
        <v>ES76</v>
      </c>
      <c r="H23" s="4">
        <v>24320</v>
      </c>
    </row>
    <row r="24" spans="1:13" ht="15.5" x14ac:dyDescent="0.35">
      <c r="A24" s="2">
        <v>10456</v>
      </c>
      <c r="B24" s="5">
        <v>45449</v>
      </c>
      <c r="C24" s="3" t="s">
        <v>51</v>
      </c>
      <c r="D24" s="2" t="s">
        <v>22</v>
      </c>
      <c r="E24" s="2" t="s">
        <v>29</v>
      </c>
      <c r="F24" s="2">
        <v>75</v>
      </c>
      <c r="G24" s="2" t="str">
        <f t="shared" si="0"/>
        <v>US75</v>
      </c>
      <c r="H24" s="4">
        <v>24000</v>
      </c>
    </row>
    <row r="25" spans="1:13" ht="15.5" x14ac:dyDescent="0.35">
      <c r="A25" s="2">
        <v>10457</v>
      </c>
      <c r="B25" s="5" t="s">
        <v>52</v>
      </c>
      <c r="C25" s="3" t="s">
        <v>53</v>
      </c>
      <c r="D25" s="2" t="s">
        <v>22</v>
      </c>
      <c r="E25" s="2" t="s">
        <v>29</v>
      </c>
      <c r="F25" s="2">
        <v>75</v>
      </c>
      <c r="G25" s="2" t="str">
        <f t="shared" si="0"/>
        <v>US75</v>
      </c>
      <c r="H25" s="4">
        <v>30000</v>
      </c>
    </row>
    <row r="26" spans="1:13" ht="15.5" x14ac:dyDescent="0.35">
      <c r="A26" s="2">
        <v>10463</v>
      </c>
      <c r="B26" s="5" t="s">
        <v>38</v>
      </c>
      <c r="C26" s="3" t="s">
        <v>54</v>
      </c>
      <c r="D26" s="2" t="s">
        <v>10</v>
      </c>
      <c r="E26" s="2" t="s">
        <v>16</v>
      </c>
      <c r="F26" s="2">
        <v>75</v>
      </c>
      <c r="G26" s="2" t="str">
        <f t="shared" si="0"/>
        <v>JP75</v>
      </c>
      <c r="H26" s="4">
        <v>11250</v>
      </c>
    </row>
    <row r="27" spans="1:13" ht="15.5" x14ac:dyDescent="0.35">
      <c r="A27" s="2">
        <v>10468</v>
      </c>
      <c r="B27" s="5" t="s">
        <v>44</v>
      </c>
      <c r="C27" s="3" t="s">
        <v>55</v>
      </c>
      <c r="D27" s="2" t="s">
        <v>10</v>
      </c>
      <c r="E27" s="2" t="s">
        <v>11</v>
      </c>
      <c r="F27" s="2">
        <v>75</v>
      </c>
      <c r="G27" s="2" t="str">
        <f t="shared" si="0"/>
        <v>FR75</v>
      </c>
      <c r="H27" s="4">
        <v>11250</v>
      </c>
    </row>
    <row r="28" spans="1:13" ht="15.5" x14ac:dyDescent="0.35">
      <c r="A28" s="2">
        <v>10470</v>
      </c>
      <c r="B28" s="5" t="s">
        <v>56</v>
      </c>
      <c r="C28" s="3" t="s">
        <v>57</v>
      </c>
      <c r="D28" s="2" t="s">
        <v>22</v>
      </c>
      <c r="E28" s="2" t="s">
        <v>11</v>
      </c>
      <c r="F28" s="2">
        <v>75</v>
      </c>
      <c r="G28" s="2" t="str">
        <f t="shared" si="0"/>
        <v>FR75</v>
      </c>
      <c r="H28" s="4">
        <v>18750</v>
      </c>
    </row>
    <row r="29" spans="1:13" ht="15.5" x14ac:dyDescent="0.35">
      <c r="A29" s="2">
        <v>10473</v>
      </c>
      <c r="B29" s="5" t="s">
        <v>17</v>
      </c>
      <c r="C29" s="3" t="s">
        <v>58</v>
      </c>
      <c r="D29" s="2" t="s">
        <v>22</v>
      </c>
      <c r="E29" s="2" t="s">
        <v>29</v>
      </c>
      <c r="F29" s="2">
        <v>75</v>
      </c>
      <c r="G29" s="2" t="str">
        <f t="shared" si="0"/>
        <v>US75</v>
      </c>
      <c r="H29" s="4">
        <v>18750</v>
      </c>
    </row>
    <row r="30" spans="1:13" ht="15.5" x14ac:dyDescent="0.35">
      <c r="A30" s="2">
        <v>10478</v>
      </c>
      <c r="B30" s="5" t="s">
        <v>56</v>
      </c>
      <c r="C30" s="3" t="s">
        <v>59</v>
      </c>
      <c r="D30" s="2" t="s">
        <v>22</v>
      </c>
      <c r="E30" s="2" t="s">
        <v>16</v>
      </c>
      <c r="F30" s="2">
        <v>75</v>
      </c>
      <c r="G30" s="2" t="str">
        <f t="shared" si="0"/>
        <v>JP75</v>
      </c>
      <c r="H30" s="4">
        <v>18750</v>
      </c>
    </row>
    <row r="31" spans="1:13" ht="15.5" x14ac:dyDescent="0.35">
      <c r="A31" s="2">
        <v>10478</v>
      </c>
      <c r="B31" s="5" t="s">
        <v>60</v>
      </c>
      <c r="C31" s="3" t="s">
        <v>59</v>
      </c>
      <c r="D31" s="2" t="s">
        <v>22</v>
      </c>
      <c r="E31" s="2" t="s">
        <v>16</v>
      </c>
      <c r="F31" s="2">
        <v>87</v>
      </c>
      <c r="G31" s="2" t="str">
        <f t="shared" si="0"/>
        <v>JP87</v>
      </c>
      <c r="H31" s="4">
        <v>18750</v>
      </c>
    </row>
  </sheetData>
  <autoFilter ref="E1:E31" xr:uid="{27748DA1-D2BB-4ACE-8AFC-02E4C0BE7846}"/>
  <conditionalFormatting sqref="A2:H31">
    <cfRule type="expression" dxfId="79" priority="1">
      <formula>$E2=$O$3</formula>
    </cfRule>
    <cfRule type="expression" dxfId="78" priority="268">
      <formula>$E2=#REF!</formula>
    </cfRule>
    <cfRule type="expression" dxfId="77" priority="267">
      <formula>$E2=#REF!</formula>
    </cfRule>
    <cfRule type="expression" dxfId="76" priority="266">
      <formula>$F2=#REF!</formula>
    </cfRule>
    <cfRule type="expression" dxfId="75" priority="265">
      <formula>$E2=#REF!</formula>
    </cfRule>
    <cfRule type="expression" dxfId="74" priority="264">
      <formula>$E2=#REF!</formula>
    </cfRule>
    <cfRule type="expression" dxfId="73" priority="263">
      <formula>$E2=#REF!</formula>
    </cfRule>
    <cfRule type="expression" dxfId="72" priority="262">
      <formula>$E2=#REF!</formula>
    </cfRule>
    <cfRule type="expression" dxfId="71" priority="260">
      <formula>$E2=#REF!</formula>
    </cfRule>
  </conditionalFormatting>
  <conditionalFormatting sqref="C1:C1048576">
    <cfRule type="dataBar" priority="202">
      <dataBar>
        <cfvo type="min"/>
        <cfvo type="max"/>
        <color rgb="FF638EC6"/>
      </dataBar>
      <extLst>
        <ext xmlns:x14="http://schemas.microsoft.com/office/spreadsheetml/2009/9/main" uri="{B025F937-C7B1-47D3-B67F-A62EFF666E3E}">
          <x14:id>{50ED4F77-2502-4E7C-9E7A-633D5BAC3552}</x14:id>
        </ext>
      </extLst>
    </cfRule>
  </conditionalFormatting>
  <conditionalFormatting sqref="D1:D1048576">
    <cfRule type="dataBar" priority="204">
      <dataBar>
        <cfvo type="min"/>
        <cfvo type="max"/>
        <color rgb="FF638EC6"/>
      </dataBar>
      <extLst>
        <ext xmlns:x14="http://schemas.microsoft.com/office/spreadsheetml/2009/9/main" uri="{B025F937-C7B1-47D3-B67F-A62EFF666E3E}">
          <x14:id>{29F5F5A3-AE85-433D-96D7-7771BFC0EACC}</x14:id>
        </ext>
      </extLst>
    </cfRule>
  </conditionalFormatting>
  <conditionalFormatting sqref="E1:E1048576">
    <cfRule type="dataBar" priority="203">
      <dataBar>
        <cfvo type="min"/>
        <cfvo type="max"/>
        <color rgb="FFFFB628"/>
      </dataBar>
      <extLst>
        <ext xmlns:x14="http://schemas.microsoft.com/office/spreadsheetml/2009/9/main" uri="{B025F937-C7B1-47D3-B67F-A62EFF666E3E}">
          <x14:id>{E2BA6A89-F4E0-466A-8C98-1B5DF265A7B2}</x14:id>
        </ext>
      </extLst>
    </cfRule>
  </conditionalFormatting>
  <conditionalFormatting sqref="E2">
    <cfRule type="expression" dxfId="70" priority="243">
      <formula>$E2=#REF!</formula>
    </cfRule>
    <cfRule type="expression" dxfId="69" priority="244">
      <formula>$E2=#REF!</formula>
    </cfRule>
    <cfRule type="expression" dxfId="68" priority="242">
      <formula>$E2=#REF!</formula>
    </cfRule>
    <cfRule type="expression" dxfId="67" priority="241">
      <formula>$E2=#REF!</formula>
    </cfRule>
    <cfRule type="expression" dxfId="66" priority="240">
      <formula>$E2:$E31=#REF!</formula>
    </cfRule>
    <cfRule type="expression" dxfId="65" priority="239">
      <formula>#REF!=$E2</formula>
    </cfRule>
  </conditionalFormatting>
  <conditionalFormatting sqref="G1">
    <cfRule type="dataBar" priority="197">
      <dataBar>
        <cfvo type="min"/>
        <cfvo type="max"/>
        <color rgb="FFFFB628"/>
      </dataBar>
      <extLst>
        <ext xmlns:x14="http://schemas.microsoft.com/office/spreadsheetml/2009/9/main" uri="{B025F937-C7B1-47D3-B67F-A62EFF666E3E}">
          <x14:id>{0C8E240D-D346-4DA7-B20F-BBB8B7C047A1}</x14:id>
        </ext>
      </extLst>
    </cfRule>
  </conditionalFormatting>
  <conditionalFormatting sqref="I14">
    <cfRule type="dataBar" priority="28">
      <dataBar>
        <cfvo type="min"/>
        <cfvo type="max"/>
        <color rgb="FF638EC6"/>
      </dataBar>
      <extLst>
        <ext xmlns:x14="http://schemas.microsoft.com/office/spreadsheetml/2009/9/main" uri="{B025F937-C7B1-47D3-B67F-A62EFF666E3E}">
          <x14:id>{A5DF383A-5AF2-457C-9F8B-00D342867C1D}</x14:id>
        </ext>
      </extLst>
    </cfRule>
  </conditionalFormatting>
  <conditionalFormatting sqref="I14:I16">
    <cfRule type="expression" dxfId="64" priority="15">
      <formula>$E14=#REF!</formula>
    </cfRule>
    <cfRule type="expression" dxfId="63" priority="16">
      <formula>$E14=#REF!</formula>
    </cfRule>
    <cfRule type="expression" dxfId="62" priority="17">
      <formula>$E14=#REF!</formula>
    </cfRule>
    <cfRule type="expression" dxfId="61" priority="18">
      <formula>$F14=#REF!</formula>
    </cfRule>
    <cfRule type="expression" dxfId="60" priority="19">
      <formula>$E14=#REF!</formula>
    </cfRule>
    <cfRule type="expression" dxfId="59" priority="20">
      <formula>$E14=#REF!</formula>
    </cfRule>
  </conditionalFormatting>
  <conditionalFormatting sqref="I15">
    <cfRule type="dataBar" priority="21">
      <dataBar>
        <cfvo type="min"/>
        <cfvo type="max"/>
        <color rgb="FF638EC6"/>
      </dataBar>
      <extLst>
        <ext xmlns:x14="http://schemas.microsoft.com/office/spreadsheetml/2009/9/main" uri="{B025F937-C7B1-47D3-B67F-A62EFF666E3E}">
          <x14:id>{050C2C7E-CED6-4584-88C8-275DF1CC7D96}</x14:id>
        </ext>
      </extLst>
    </cfRule>
  </conditionalFormatting>
  <conditionalFormatting sqref="I16">
    <cfRule type="dataBar" priority="14">
      <dataBar>
        <cfvo type="min"/>
        <cfvo type="max"/>
        <color rgb="FF638EC6"/>
      </dataBar>
      <extLst>
        <ext xmlns:x14="http://schemas.microsoft.com/office/spreadsheetml/2009/9/main" uri="{B025F937-C7B1-47D3-B67F-A62EFF666E3E}">
          <x14:id>{D17F0693-A6AE-4026-8588-8A145A637D2C}</x14:id>
        </ext>
      </extLst>
    </cfRule>
  </conditionalFormatting>
  <conditionalFormatting sqref="J4:J5">
    <cfRule type="expression" dxfId="58" priority="84">
      <formula>$E4=#REF!</formula>
    </cfRule>
    <cfRule type="expression" dxfId="57" priority="85">
      <formula>$E4=#REF!</formula>
    </cfRule>
    <cfRule type="expression" dxfId="56" priority="83">
      <formula>$E4=#REF!</formula>
    </cfRule>
  </conditionalFormatting>
  <conditionalFormatting sqref="J5">
    <cfRule type="expression" dxfId="55" priority="86">
      <formula>$F5=#REF!</formula>
    </cfRule>
    <cfRule type="expression" dxfId="54" priority="87">
      <formula>$E5=#REF!</formula>
    </cfRule>
    <cfRule type="expression" dxfId="53" priority="88">
      <formula>$E5=#REF!</formula>
    </cfRule>
  </conditionalFormatting>
  <conditionalFormatting sqref="J7">
    <cfRule type="expression" dxfId="52" priority="58">
      <formula>$E7=#REF!</formula>
    </cfRule>
    <cfRule type="expression" dxfId="51" priority="57">
      <formula>$E7=#REF!</formula>
    </cfRule>
  </conditionalFormatting>
  <conditionalFormatting sqref="J7:J8">
    <cfRule type="expression" dxfId="50" priority="53">
      <formula>$E7=#REF!</formula>
    </cfRule>
    <cfRule type="expression" dxfId="49" priority="54">
      <formula>$E7=#REF!</formula>
    </cfRule>
    <cfRule type="expression" dxfId="48" priority="55">
      <formula>$E7=#REF!</formula>
    </cfRule>
    <cfRule type="expression" dxfId="47" priority="56">
      <formula>$F7=#REF!</formula>
    </cfRule>
  </conditionalFormatting>
  <conditionalFormatting sqref="J4:K4">
    <cfRule type="expression" dxfId="46" priority="104">
      <formula>$F4=#REF!</formula>
    </cfRule>
    <cfRule type="expression" dxfId="45" priority="105">
      <formula>$E4=#REF!</formula>
    </cfRule>
    <cfRule type="expression" dxfId="44" priority="106">
      <formula>$E4=#REF!</formula>
    </cfRule>
  </conditionalFormatting>
  <conditionalFormatting sqref="J6:K6">
    <cfRule type="expression" dxfId="43" priority="117">
      <formula>$E6=#REF!</formula>
    </cfRule>
    <cfRule type="expression" dxfId="42" priority="118">
      <formula>$E6=#REF!</formula>
    </cfRule>
    <cfRule type="expression" dxfId="41" priority="115">
      <formula>$E6=#REF!</formula>
    </cfRule>
    <cfRule type="expression" dxfId="40" priority="113">
      <formula>$E6=#REF!</formula>
    </cfRule>
    <cfRule type="expression" dxfId="39" priority="114">
      <formula>$E6=#REF!</formula>
    </cfRule>
    <cfRule type="expression" dxfId="38" priority="116">
      <formula>$F6=#REF!</formula>
    </cfRule>
  </conditionalFormatting>
  <conditionalFormatting sqref="J8:K8">
    <cfRule type="expression" dxfId="37" priority="112">
      <formula>$E8=#REF!</formula>
    </cfRule>
    <cfRule type="expression" dxfId="36" priority="111">
      <formula>$E8=#REF!</formula>
    </cfRule>
  </conditionalFormatting>
  <conditionalFormatting sqref="K2">
    <cfRule type="dataBar" priority="188">
      <dataBar>
        <cfvo type="min"/>
        <cfvo type="max"/>
        <color rgb="FF638EC6"/>
      </dataBar>
      <extLst>
        <ext xmlns:x14="http://schemas.microsoft.com/office/spreadsheetml/2009/9/main" uri="{B025F937-C7B1-47D3-B67F-A62EFF666E3E}">
          <x14:id>{51590ED1-3F1C-46BA-816C-1C989FA3FF28}</x14:id>
        </ext>
      </extLst>
    </cfRule>
  </conditionalFormatting>
  <conditionalFormatting sqref="K2:K3">
    <cfRule type="expression" dxfId="35" priority="185">
      <formula>$F2=#REF!</formula>
    </cfRule>
    <cfRule type="expression" dxfId="34" priority="186">
      <formula>$E2=#REF!</formula>
    </cfRule>
    <cfRule type="expression" dxfId="33" priority="187">
      <formula>$E2=#REF!</formula>
    </cfRule>
  </conditionalFormatting>
  <conditionalFormatting sqref="K2:K5">
    <cfRule type="expression" dxfId="32" priority="78">
      <formula>$E2=#REF!</formula>
    </cfRule>
    <cfRule type="expression" dxfId="31" priority="79">
      <formula>$E2=#REF!</formula>
    </cfRule>
    <cfRule type="expression" dxfId="30" priority="77">
      <formula>$E2=#REF!</formula>
    </cfRule>
  </conditionalFormatting>
  <conditionalFormatting sqref="K3">
    <cfRule type="dataBar" priority="181">
      <dataBar>
        <cfvo type="min"/>
        <cfvo type="max"/>
        <color rgb="FF638EC6"/>
      </dataBar>
      <extLst>
        <ext xmlns:x14="http://schemas.microsoft.com/office/spreadsheetml/2009/9/main" uri="{B025F937-C7B1-47D3-B67F-A62EFF666E3E}">
          <x14:id>{3CC1B7DA-4D60-4757-9BD4-475C6313FA7A}</x14:id>
        </ext>
      </extLst>
    </cfRule>
  </conditionalFormatting>
  <conditionalFormatting sqref="K5">
    <cfRule type="expression" dxfId="29" priority="81">
      <formula>$E5=#REF!</formula>
    </cfRule>
    <cfRule type="expression" dxfId="28" priority="80">
      <formula>$F5=#REF!</formula>
    </cfRule>
    <cfRule type="expression" dxfId="27" priority="82">
      <formula>$E5=#REF!</formula>
    </cfRule>
  </conditionalFormatting>
  <conditionalFormatting sqref="K7">
    <cfRule type="expression" dxfId="26" priority="63">
      <formula>$E7=#REF!</formula>
    </cfRule>
    <cfRule type="expression" dxfId="25" priority="64">
      <formula>$E7=#REF!</formula>
    </cfRule>
  </conditionalFormatting>
  <conditionalFormatting sqref="K7:K10">
    <cfRule type="expression" dxfId="24" priority="62">
      <formula>$F7=#REF!</formula>
    </cfRule>
    <cfRule type="expression" dxfId="23" priority="61">
      <formula>$E7=#REF!</formula>
    </cfRule>
    <cfRule type="expression" dxfId="22" priority="60">
      <formula>$E7=#REF!</formula>
    </cfRule>
    <cfRule type="expression" dxfId="21" priority="59">
      <formula>$E7=#REF!</formula>
    </cfRule>
  </conditionalFormatting>
  <conditionalFormatting sqref="K9:K10">
    <cfRule type="expression" dxfId="20" priority="160">
      <formula>$E9=#REF!</formula>
    </cfRule>
    <cfRule type="expression" dxfId="19" priority="159">
      <formula>$E9=#REF!</formula>
    </cfRule>
  </conditionalFormatting>
  <conditionalFormatting sqref="L4:M8">
    <cfRule type="expression" dxfId="18" priority="35">
      <formula>$E4=#REF!</formula>
    </cfRule>
    <cfRule type="expression" dxfId="17" priority="36">
      <formula>$E4=#REF!</formula>
    </cfRule>
    <cfRule type="expression" dxfId="16" priority="37">
      <formula>$E4=#REF!</formula>
    </cfRule>
    <cfRule type="expression" dxfId="15" priority="40">
      <formula>$E4=#REF!</formula>
    </cfRule>
    <cfRule type="expression" dxfId="14" priority="39">
      <formula>$E4=#REF!</formula>
    </cfRule>
    <cfRule type="expression" dxfId="13" priority="38">
      <formula>$F4=#REF!</formula>
    </cfRule>
  </conditionalFormatting>
  <dataValidations count="2">
    <dataValidation type="list" allowBlank="1" showInputMessage="1" showErrorMessage="1" sqref="I12" xr:uid="{FC85C255-D905-4A84-B095-33EB26EB5A60}">
      <formula1>$J$3:$M$3</formula1>
    </dataValidation>
    <dataValidation type="list" allowBlank="1" showInputMessage="1" showErrorMessage="1" sqref="O3" xr:uid="{55DFE847-F245-4CAA-9104-76940F625DE3}">
      <formula1>$E$2:$E$31</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50ED4F77-2502-4E7C-9E7A-633D5BAC3552}">
            <x14:dataBar minLength="0" maxLength="100" border="1" negativeBarBorderColorSameAsPositive="0">
              <x14:cfvo type="autoMin"/>
              <x14:cfvo type="autoMax"/>
              <x14:borderColor rgb="FF638EC6"/>
              <x14:negativeFillColor rgb="FFFF0000"/>
              <x14:negativeBorderColor rgb="FFFF0000"/>
              <x14:axisColor rgb="FF000000"/>
            </x14:dataBar>
          </x14:cfRule>
          <xm:sqref>C1:C1048576</xm:sqref>
        </x14:conditionalFormatting>
        <x14:conditionalFormatting xmlns:xm="http://schemas.microsoft.com/office/excel/2006/main">
          <x14:cfRule type="dataBar" id="{29F5F5A3-AE85-433D-96D7-7771BFC0EACC}">
            <x14:dataBar minLength="0" maxLength="100" border="1" negativeBarBorderColorSameAsPositive="0">
              <x14:cfvo type="autoMin"/>
              <x14:cfvo type="autoMax"/>
              <x14:borderColor rgb="FF638EC6"/>
              <x14:negativeFillColor rgb="FFFF0000"/>
              <x14:negativeBorderColor rgb="FFFF0000"/>
              <x14:axisColor rgb="FF000000"/>
            </x14:dataBar>
          </x14:cfRule>
          <xm:sqref>D1:D1048576</xm:sqref>
        </x14:conditionalFormatting>
        <x14:conditionalFormatting xmlns:xm="http://schemas.microsoft.com/office/excel/2006/main">
          <x14:cfRule type="dataBar" id="{E2BA6A89-F4E0-466A-8C98-1B5DF265A7B2}">
            <x14:dataBar minLength="0" maxLength="100" border="1" negativeBarBorderColorSameAsPositive="0">
              <x14:cfvo type="autoMin"/>
              <x14:cfvo type="autoMax"/>
              <x14:borderColor rgb="FFFFB628"/>
              <x14:negativeFillColor rgb="FFFF0000"/>
              <x14:negativeBorderColor rgb="FFFF0000"/>
              <x14:axisColor rgb="FF000000"/>
            </x14:dataBar>
          </x14:cfRule>
          <xm:sqref>E1:E1048576</xm:sqref>
        </x14:conditionalFormatting>
        <x14:conditionalFormatting xmlns:xm="http://schemas.microsoft.com/office/excel/2006/main">
          <x14:cfRule type="dataBar" id="{0C8E240D-D346-4DA7-B20F-BBB8B7C047A1}">
            <x14:dataBar minLength="0" maxLength="100" border="1" negativeBarBorderColorSameAsPositive="0">
              <x14:cfvo type="autoMin"/>
              <x14:cfvo type="autoMax"/>
              <x14:borderColor rgb="FFFFB628"/>
              <x14:negativeFillColor rgb="FFFF0000"/>
              <x14:negativeBorderColor rgb="FFFF0000"/>
              <x14:axisColor rgb="FF000000"/>
            </x14:dataBar>
          </x14:cfRule>
          <xm:sqref>G1</xm:sqref>
        </x14:conditionalFormatting>
        <x14:conditionalFormatting xmlns:xm="http://schemas.microsoft.com/office/excel/2006/main">
          <x14:cfRule type="dataBar" id="{A5DF383A-5AF2-457C-9F8B-00D342867C1D}">
            <x14:dataBar minLength="0" maxLength="100" border="1" negativeBarBorderColorSameAsPositive="0">
              <x14:cfvo type="autoMin"/>
              <x14:cfvo type="autoMax"/>
              <x14:borderColor rgb="FF638EC6"/>
              <x14:negativeFillColor rgb="FFFF0000"/>
              <x14:negativeBorderColor rgb="FFFF0000"/>
              <x14:axisColor rgb="FF000000"/>
            </x14:dataBar>
          </x14:cfRule>
          <xm:sqref>I14</xm:sqref>
        </x14:conditionalFormatting>
        <x14:conditionalFormatting xmlns:xm="http://schemas.microsoft.com/office/excel/2006/main">
          <x14:cfRule type="dataBar" id="{050C2C7E-CED6-4584-88C8-275DF1CC7D96}">
            <x14:dataBar minLength="0" maxLength="100" border="1" negativeBarBorderColorSameAsPositive="0">
              <x14:cfvo type="autoMin"/>
              <x14:cfvo type="autoMax"/>
              <x14:borderColor rgb="FF638EC6"/>
              <x14:negativeFillColor rgb="FFFF0000"/>
              <x14:negativeBorderColor rgb="FFFF0000"/>
              <x14:axisColor rgb="FF000000"/>
            </x14:dataBar>
          </x14:cfRule>
          <xm:sqref>I15</xm:sqref>
        </x14:conditionalFormatting>
        <x14:conditionalFormatting xmlns:xm="http://schemas.microsoft.com/office/excel/2006/main">
          <x14:cfRule type="dataBar" id="{D17F0693-A6AE-4026-8588-8A145A637D2C}">
            <x14:dataBar minLength="0" maxLength="100" border="1" negativeBarBorderColorSameAsPositive="0">
              <x14:cfvo type="autoMin"/>
              <x14:cfvo type="autoMax"/>
              <x14:borderColor rgb="FF638EC6"/>
              <x14:negativeFillColor rgb="FFFF0000"/>
              <x14:negativeBorderColor rgb="FFFF0000"/>
              <x14:axisColor rgb="FF000000"/>
            </x14:dataBar>
          </x14:cfRule>
          <xm:sqref>I16</xm:sqref>
        </x14:conditionalFormatting>
        <x14:conditionalFormatting xmlns:xm="http://schemas.microsoft.com/office/excel/2006/main">
          <x14:cfRule type="dataBar" id="{51590ED1-3F1C-46BA-816C-1C989FA3FF28}">
            <x14:dataBar minLength="0" maxLength="100" border="1" negativeBarBorderColorSameAsPositive="0">
              <x14:cfvo type="autoMin"/>
              <x14:cfvo type="autoMax"/>
              <x14:borderColor rgb="FF638EC6"/>
              <x14:negativeFillColor rgb="FFFF0000"/>
              <x14:negativeBorderColor rgb="FFFF0000"/>
              <x14:axisColor rgb="FF000000"/>
            </x14:dataBar>
          </x14:cfRule>
          <xm:sqref>K2</xm:sqref>
        </x14:conditionalFormatting>
        <x14:conditionalFormatting xmlns:xm="http://schemas.microsoft.com/office/excel/2006/main">
          <x14:cfRule type="dataBar" id="{3CC1B7DA-4D60-4757-9BD4-475C6313FA7A}">
            <x14:dataBar minLength="0" maxLength="100" border="1" negativeBarBorderColorSameAsPositive="0">
              <x14:cfvo type="autoMin"/>
              <x14:cfvo type="autoMax"/>
              <x14:borderColor rgb="FF638EC6"/>
              <x14:negativeFillColor rgb="FFFF0000"/>
              <x14:negativeBorderColor rgb="FFFF0000"/>
              <x14:axisColor rgb="FF000000"/>
            </x14:dataBar>
          </x14:cfRule>
          <xm:sqref>K3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8703C-6A08-4BE7-9858-17EA160BE819}">
  <dimension ref="A1:R31"/>
  <sheetViews>
    <sheetView topLeftCell="A7" zoomScale="103" workbookViewId="0">
      <selection activeCell="H11" sqref="H11"/>
    </sheetView>
  </sheetViews>
  <sheetFormatPr defaultRowHeight="14.5" x14ac:dyDescent="0.35"/>
  <cols>
    <col min="1" max="1" width="5.81640625" customWidth="1"/>
    <col min="2" max="2" width="13.453125" bestFit="1" customWidth="1"/>
    <col min="3" max="4" width="7.7265625" bestFit="1" customWidth="1"/>
    <col min="5" max="5" width="6" bestFit="1" customWidth="1"/>
    <col min="8" max="8" width="22.26953125" bestFit="1" customWidth="1"/>
    <col min="9" max="9" width="43.1796875" bestFit="1" customWidth="1"/>
  </cols>
  <sheetData>
    <row r="1" spans="1:18" x14ac:dyDescent="0.35">
      <c r="A1" s="33" t="s">
        <v>61</v>
      </c>
      <c r="B1" s="33" t="s">
        <v>62</v>
      </c>
      <c r="C1" s="33" t="s">
        <v>63</v>
      </c>
      <c r="D1" s="33" t="s">
        <v>64</v>
      </c>
      <c r="E1" s="33" t="s">
        <v>65</v>
      </c>
    </row>
    <row r="2" spans="1:18" x14ac:dyDescent="0.35">
      <c r="A2" s="34">
        <v>1</v>
      </c>
      <c r="B2" s="34" t="s">
        <v>66</v>
      </c>
      <c r="C2" s="34"/>
      <c r="D2" s="34" t="s">
        <v>67</v>
      </c>
      <c r="E2" s="34">
        <v>80</v>
      </c>
    </row>
    <row r="3" spans="1:18" x14ac:dyDescent="0.35">
      <c r="A3" s="34">
        <v>2</v>
      </c>
      <c r="B3" s="34" t="s">
        <v>68</v>
      </c>
      <c r="C3" s="34" t="s">
        <v>69</v>
      </c>
      <c r="D3" s="34" t="s">
        <v>70</v>
      </c>
      <c r="E3" s="34">
        <v>82</v>
      </c>
    </row>
    <row r="4" spans="1:18" x14ac:dyDescent="0.35">
      <c r="A4" s="34">
        <v>3</v>
      </c>
      <c r="B4" s="34" t="s">
        <v>71</v>
      </c>
      <c r="C4" s="34" t="s">
        <v>72</v>
      </c>
      <c r="D4" s="34" t="s">
        <v>73</v>
      </c>
      <c r="E4" s="34">
        <v>80</v>
      </c>
      <c r="H4" t="s">
        <v>74</v>
      </c>
    </row>
    <row r="5" spans="1:18" x14ac:dyDescent="0.35">
      <c r="A5" s="34">
        <v>4</v>
      </c>
      <c r="B5" s="34" t="s">
        <v>75</v>
      </c>
      <c r="C5" s="34" t="s">
        <v>76</v>
      </c>
      <c r="D5" s="34" t="s">
        <v>77</v>
      </c>
      <c r="E5" s="34" t="s">
        <v>78</v>
      </c>
    </row>
    <row r="6" spans="1:18" x14ac:dyDescent="0.35">
      <c r="A6" s="34">
        <v>5</v>
      </c>
      <c r="B6" s="34" t="s">
        <v>79</v>
      </c>
      <c r="C6" s="34" t="s">
        <v>80</v>
      </c>
      <c r="D6" s="34" t="s">
        <v>81</v>
      </c>
      <c r="E6" s="34">
        <v>80</v>
      </c>
      <c r="H6" t="s">
        <v>82</v>
      </c>
      <c r="I6" t="s">
        <v>83</v>
      </c>
    </row>
    <row r="7" spans="1:18" x14ac:dyDescent="0.35">
      <c r="A7" s="34">
        <v>6</v>
      </c>
      <c r="B7" s="34" t="s">
        <v>84</v>
      </c>
      <c r="C7" s="34" t="s">
        <v>72</v>
      </c>
      <c r="D7" s="34" t="s">
        <v>85</v>
      </c>
      <c r="E7" s="34">
        <v>70</v>
      </c>
      <c r="H7" t="s">
        <v>86</v>
      </c>
      <c r="I7" t="s">
        <v>87</v>
      </c>
    </row>
    <row r="8" spans="1:18" x14ac:dyDescent="0.35">
      <c r="A8" s="34">
        <v>7</v>
      </c>
      <c r="B8" s="34" t="s">
        <v>88</v>
      </c>
      <c r="C8" s="34" t="s">
        <v>72</v>
      </c>
      <c r="D8" s="34" t="s">
        <v>67</v>
      </c>
      <c r="E8" s="34">
        <v>89</v>
      </c>
      <c r="H8" t="s">
        <v>89</v>
      </c>
      <c r="I8" t="s">
        <v>90</v>
      </c>
    </row>
    <row r="9" spans="1:18" x14ac:dyDescent="0.35">
      <c r="A9" s="34">
        <v>8</v>
      </c>
      <c r="B9" s="34" t="s">
        <v>91</v>
      </c>
      <c r="C9" s="34" t="s">
        <v>72</v>
      </c>
      <c r="D9" s="34" t="s">
        <v>70</v>
      </c>
      <c r="E9" s="34">
        <v>80</v>
      </c>
    </row>
    <row r="10" spans="1:18" x14ac:dyDescent="0.35">
      <c r="A10" s="34">
        <v>9</v>
      </c>
      <c r="B10" s="34" t="s">
        <v>92</v>
      </c>
      <c r="C10" s="34"/>
      <c r="D10" s="34" t="s">
        <v>73</v>
      </c>
      <c r="E10" s="34" t="s">
        <v>78</v>
      </c>
      <c r="I10" t="s">
        <v>82</v>
      </c>
      <c r="J10" t="s">
        <v>89</v>
      </c>
    </row>
    <row r="11" spans="1:18" x14ac:dyDescent="0.35">
      <c r="A11" s="34">
        <v>10</v>
      </c>
      <c r="B11" s="34" t="s">
        <v>93</v>
      </c>
      <c r="C11" s="34" t="s">
        <v>72</v>
      </c>
      <c r="D11" s="34" t="s">
        <v>77</v>
      </c>
      <c r="E11" s="34">
        <v>80</v>
      </c>
      <c r="H11" s="34">
        <v>8</v>
      </c>
      <c r="I11" s="10" t="str">
        <f>VLOOKUP(H11,A1:E31,3,)</f>
        <v>Pune</v>
      </c>
      <c r="J11" t="str">
        <f>_xlfn.XLOOKUP(H11,A1:A31,C1:C31,"Not Found",M10)</f>
        <v>Pune</v>
      </c>
      <c r="K11" t="s">
        <v>94</v>
      </c>
      <c r="L11">
        <f>_xlfn.XLOOKUP(K11,C2:C31,A2:A31,"na",0)</f>
        <v>3</v>
      </c>
    </row>
    <row r="12" spans="1:18" x14ac:dyDescent="0.35">
      <c r="A12" s="34">
        <v>11</v>
      </c>
      <c r="B12" s="34" t="s">
        <v>95</v>
      </c>
      <c r="C12" s="34" t="s">
        <v>80</v>
      </c>
      <c r="D12" s="34" t="s">
        <v>81</v>
      </c>
      <c r="E12" s="34">
        <v>55</v>
      </c>
      <c r="H12" s="34">
        <v>15</v>
      </c>
      <c r="I12" s="10" t="str">
        <f t="shared" ref="I12:I13" si="0">VLOOKUP(H12,A2:E32,3,)</f>
        <v>Pune</v>
      </c>
      <c r="J12" t="str">
        <f t="shared" ref="J12:J13" si="1">_xlfn.XLOOKUP(H12,A2:A32,C2:C32,"Not Found",0)</f>
        <v>Pune</v>
      </c>
      <c r="K12" t="str">
        <f t="shared" ref="K12:K13" si="2">_xlfn.XLOOKUP(H12,A2:A32,C2:C32,"NA",0)</f>
        <v>Pune</v>
      </c>
    </row>
    <row r="13" spans="1:18" x14ac:dyDescent="0.35">
      <c r="A13" s="34">
        <v>12</v>
      </c>
      <c r="B13" s="34" t="s">
        <v>96</v>
      </c>
      <c r="C13" s="34"/>
      <c r="D13" s="34" t="s">
        <v>85</v>
      </c>
      <c r="E13" s="34">
        <v>66</v>
      </c>
      <c r="H13" s="34">
        <v>5</v>
      </c>
      <c r="I13" s="10" t="str">
        <f t="shared" si="0"/>
        <v>Satara</v>
      </c>
      <c r="J13" t="str">
        <f t="shared" si="1"/>
        <v>Satara</v>
      </c>
      <c r="K13" t="str">
        <f t="shared" si="2"/>
        <v>Satara</v>
      </c>
    </row>
    <row r="14" spans="1:18" x14ac:dyDescent="0.35">
      <c r="A14" s="34">
        <v>13</v>
      </c>
      <c r="B14" s="34" t="s">
        <v>97</v>
      </c>
      <c r="C14" s="34" t="s">
        <v>72</v>
      </c>
      <c r="D14" s="34" t="s">
        <v>67</v>
      </c>
      <c r="E14" s="34">
        <v>87</v>
      </c>
    </row>
    <row r="15" spans="1:18" x14ac:dyDescent="0.35">
      <c r="A15" s="34">
        <v>14</v>
      </c>
      <c r="B15" s="34" t="s">
        <v>84</v>
      </c>
      <c r="C15" s="34" t="s">
        <v>98</v>
      </c>
      <c r="D15" s="34" t="s">
        <v>70</v>
      </c>
      <c r="E15" s="34">
        <v>80</v>
      </c>
    </row>
    <row r="16" spans="1:18" x14ac:dyDescent="0.35">
      <c r="A16" s="34">
        <v>15</v>
      </c>
      <c r="B16" s="34" t="s">
        <v>99</v>
      </c>
      <c r="C16" s="34" t="s">
        <v>72</v>
      </c>
      <c r="D16" s="34" t="s">
        <v>73</v>
      </c>
      <c r="E16" s="34" t="s">
        <v>78</v>
      </c>
      <c r="H16" s="33" t="str" cm="1">
        <f t="array" ref="H16:R16">TRANSPOSE(A1:A11)</f>
        <v>ID</v>
      </c>
      <c r="I16" s="33">
        <v>1</v>
      </c>
      <c r="J16" s="33">
        <v>2</v>
      </c>
      <c r="K16" s="33">
        <v>3</v>
      </c>
      <c r="L16" s="33">
        <v>4</v>
      </c>
      <c r="M16" s="33">
        <v>5</v>
      </c>
      <c r="N16" s="33">
        <v>6</v>
      </c>
      <c r="O16" s="33">
        <v>7</v>
      </c>
      <c r="P16" s="33">
        <v>8</v>
      </c>
      <c r="Q16" s="33">
        <v>9</v>
      </c>
      <c r="R16" s="33">
        <v>10</v>
      </c>
    </row>
    <row r="17" spans="1:18" x14ac:dyDescent="0.35">
      <c r="A17" s="34">
        <v>16</v>
      </c>
      <c r="B17" s="34" t="s">
        <v>75</v>
      </c>
      <c r="C17" s="34"/>
      <c r="D17" s="34" t="s">
        <v>77</v>
      </c>
      <c r="E17" s="34">
        <v>80</v>
      </c>
      <c r="H17" s="33" t="s">
        <v>62</v>
      </c>
      <c r="I17" s="13" t="str" cm="1">
        <f t="array" ref="I17:R17">TRANSPOSE(B2:B11)</f>
        <v>a</v>
      </c>
      <c r="J17" s="13" t="str">
        <v>b</v>
      </c>
      <c r="K17" s="13" t="str">
        <v>c</v>
      </c>
      <c r="L17" s="13" t="str">
        <v>d</v>
      </c>
      <c r="M17" s="13" t="str">
        <v>aa</v>
      </c>
      <c r="N17" s="13" t="str">
        <v>bb</v>
      </c>
      <c r="O17" s="13" t="str">
        <v>cc</v>
      </c>
      <c r="P17" s="13" t="str">
        <v>dd</v>
      </c>
      <c r="Q17" s="13" t="str">
        <v>aaa</v>
      </c>
      <c r="R17" s="13" t="str">
        <v>bbb</v>
      </c>
    </row>
    <row r="18" spans="1:18" x14ac:dyDescent="0.35">
      <c r="A18" s="34">
        <v>17</v>
      </c>
      <c r="B18" s="34" t="s">
        <v>79</v>
      </c>
      <c r="C18" s="34" t="s">
        <v>72</v>
      </c>
      <c r="D18" s="34" t="s">
        <v>81</v>
      </c>
      <c r="E18" s="34">
        <v>85</v>
      </c>
      <c r="H18" s="33" t="s">
        <v>63</v>
      </c>
      <c r="I18" s="13" cm="1">
        <f t="array" ref="I18:R18">TRANSPOSE(C2:C11)</f>
        <v>0</v>
      </c>
      <c r="J18" s="13" t="str">
        <v>fffff</v>
      </c>
      <c r="K18" s="13" t="str">
        <v>Pune</v>
      </c>
      <c r="L18" s="13" t="str">
        <v xml:space="preserve">  </v>
      </c>
      <c r="M18" s="13" t="str">
        <v>Satara</v>
      </c>
      <c r="N18" s="13" t="str">
        <v>Pune</v>
      </c>
      <c r="O18" s="13" t="str">
        <v>Pune</v>
      </c>
      <c r="P18" s="13" t="str">
        <v>Pune</v>
      </c>
      <c r="Q18" s="13">
        <v>0</v>
      </c>
      <c r="R18" s="13" t="str">
        <v>Pune</v>
      </c>
    </row>
    <row r="19" spans="1:18" x14ac:dyDescent="0.35">
      <c r="A19" s="34">
        <v>18</v>
      </c>
      <c r="B19" s="34" t="s">
        <v>84</v>
      </c>
      <c r="C19" s="34" t="s">
        <v>72</v>
      </c>
      <c r="D19" s="34" t="s">
        <v>85</v>
      </c>
      <c r="E19" s="34">
        <v>52</v>
      </c>
    </row>
    <row r="20" spans="1:18" x14ac:dyDescent="0.35">
      <c r="A20" s="34">
        <v>19</v>
      </c>
      <c r="B20" s="34" t="s">
        <v>88</v>
      </c>
      <c r="C20" s="34" t="s">
        <v>72</v>
      </c>
      <c r="D20" s="34" t="s">
        <v>67</v>
      </c>
      <c r="E20" s="34">
        <v>48</v>
      </c>
      <c r="H20" s="33" t="s">
        <v>61</v>
      </c>
      <c r="I20" s="34">
        <v>4</v>
      </c>
      <c r="J20" s="34" t="e">
        <f>HLOOKUP("bb", H16:R18, 1)</f>
        <v>#N/A</v>
      </c>
      <c r="K20">
        <v>7</v>
      </c>
    </row>
    <row r="21" spans="1:18" x14ac:dyDescent="0.35">
      <c r="A21" s="34">
        <v>20</v>
      </c>
      <c r="B21" s="34" t="s">
        <v>91</v>
      </c>
      <c r="C21" s="34"/>
      <c r="D21" s="34" t="s">
        <v>70</v>
      </c>
      <c r="E21" s="34">
        <v>69</v>
      </c>
      <c r="H21" s="33" t="s">
        <v>62</v>
      </c>
      <c r="I21" s="34" t="str">
        <f>HLOOKUP(I20,H16:R18,2,)</f>
        <v>d</v>
      </c>
      <c r="J21" s="34" t="s">
        <v>84</v>
      </c>
      <c r="K21" t="str" cm="1">
        <f t="array" ref="K21">_xlfn.XLOOKUP(K20,_xlfn.ANCHORARRAY(H16),H17:R17,"NA",0)</f>
        <v>cc</v>
      </c>
    </row>
    <row r="22" spans="1:18" x14ac:dyDescent="0.35">
      <c r="A22" s="34">
        <v>21</v>
      </c>
      <c r="B22" s="34" t="s">
        <v>92</v>
      </c>
      <c r="C22" s="34" t="s">
        <v>72</v>
      </c>
      <c r="D22" s="34" t="s">
        <v>73</v>
      </c>
      <c r="E22" s="34">
        <v>80</v>
      </c>
      <c r="H22" s="33" t="s">
        <v>63</v>
      </c>
      <c r="I22" s="13" t="str">
        <f>HLOOKUP(I21,H17:R18,2,0)</f>
        <v xml:space="preserve">  </v>
      </c>
      <c r="J22" s="10" t="e">
        <f>HLOOKUP(J21,H16:R18,3,)</f>
        <v>#N/A</v>
      </c>
      <c r="K22" t="str">
        <f>_xlfn.XLOOKUP(K21,H17:R17,H18:R18,"NA",0)</f>
        <v>Pune</v>
      </c>
    </row>
    <row r="23" spans="1:18" x14ac:dyDescent="0.35">
      <c r="A23" s="34">
        <v>22</v>
      </c>
      <c r="B23" s="34" t="s">
        <v>93</v>
      </c>
      <c r="C23" s="34" t="s">
        <v>72</v>
      </c>
      <c r="D23" s="34" t="s">
        <v>77</v>
      </c>
      <c r="E23" s="34">
        <v>80</v>
      </c>
    </row>
    <row r="24" spans="1:18" x14ac:dyDescent="0.35">
      <c r="A24" s="34">
        <v>23</v>
      </c>
      <c r="B24" s="34" t="s">
        <v>95</v>
      </c>
      <c r="C24" s="34" t="s">
        <v>80</v>
      </c>
      <c r="D24" s="34" t="s">
        <v>81</v>
      </c>
      <c r="E24" s="34" t="s">
        <v>78</v>
      </c>
      <c r="I24" s="19" t="s">
        <v>12</v>
      </c>
    </row>
    <row r="25" spans="1:18" x14ac:dyDescent="0.35">
      <c r="A25" s="34">
        <v>24</v>
      </c>
      <c r="B25" s="34" t="s">
        <v>96</v>
      </c>
      <c r="C25" s="34" t="s">
        <v>72</v>
      </c>
      <c r="D25" s="34" t="s">
        <v>85</v>
      </c>
      <c r="E25" s="34">
        <v>80</v>
      </c>
      <c r="I25" s="19" t="s">
        <v>73</v>
      </c>
    </row>
    <row r="26" spans="1:18" x14ac:dyDescent="0.35">
      <c r="A26" s="34">
        <v>25</v>
      </c>
      <c r="B26" s="34" t="s">
        <v>100</v>
      </c>
      <c r="C26" s="34" t="s">
        <v>98</v>
      </c>
      <c r="D26" s="34" t="s">
        <v>67</v>
      </c>
      <c r="E26" s="34">
        <v>89</v>
      </c>
    </row>
    <row r="27" spans="1:18" x14ac:dyDescent="0.35">
      <c r="A27" s="34">
        <v>26</v>
      </c>
      <c r="B27" s="34" t="s">
        <v>101</v>
      </c>
      <c r="C27" s="34" t="s">
        <v>72</v>
      </c>
      <c r="D27" s="34" t="s">
        <v>70</v>
      </c>
      <c r="E27" s="34">
        <v>80</v>
      </c>
      <c r="H27" s="13" t="str" cm="1">
        <f t="array" ref="H27:M27">TRANSPOSE(A1:A6)</f>
        <v>ID</v>
      </c>
      <c r="I27" s="13">
        <v>1</v>
      </c>
      <c r="J27" s="13">
        <v>2</v>
      </c>
      <c r="K27" s="13">
        <v>3</v>
      </c>
      <c r="L27" s="13">
        <v>4</v>
      </c>
      <c r="M27" s="13">
        <v>5</v>
      </c>
    </row>
    <row r="28" spans="1:18" x14ac:dyDescent="0.35">
      <c r="A28" s="34">
        <v>27</v>
      </c>
      <c r="B28" s="34" t="s">
        <v>102</v>
      </c>
      <c r="C28" s="34" t="s">
        <v>72</v>
      </c>
      <c r="D28" s="34" t="s">
        <v>73</v>
      </c>
      <c r="E28" s="34">
        <v>80</v>
      </c>
      <c r="H28" s="13" t="s">
        <v>62</v>
      </c>
      <c r="I28" s="13" t="str">
        <f>HLOOKUP(I27,H16:R18,2)</f>
        <v>a</v>
      </c>
      <c r="J28" s="13" t="str">
        <f t="shared" ref="J28:M28" si="3">HLOOKUP(J27,I16:S18,2)</f>
        <v>b</v>
      </c>
      <c r="K28" s="13" t="str">
        <f t="shared" si="3"/>
        <v>c</v>
      </c>
      <c r="L28" s="13" t="str">
        <f t="shared" si="3"/>
        <v>d</v>
      </c>
      <c r="M28" s="13" t="str">
        <f t="shared" si="3"/>
        <v>aa</v>
      </c>
    </row>
    <row r="29" spans="1:18" x14ac:dyDescent="0.35">
      <c r="A29" s="34">
        <v>28</v>
      </c>
      <c r="B29" s="34" t="s">
        <v>103</v>
      </c>
      <c r="C29" s="34"/>
      <c r="D29" s="34" t="s">
        <v>77</v>
      </c>
      <c r="E29" s="34">
        <v>48</v>
      </c>
      <c r="H29" t="s">
        <v>104</v>
      </c>
      <c r="I29">
        <f>HLOOKUP(I28,I17:R18,2)</f>
        <v>0</v>
      </c>
      <c r="J29" t="str">
        <f>HLOOKUP(J28,J17:S18,2)</f>
        <v>fffff</v>
      </c>
      <c r="K29" t="str">
        <f t="shared" ref="K29:M29" si="4">HLOOKUP(K28,K17:T18,2)</f>
        <v>Pune</v>
      </c>
      <c r="L29" t="str">
        <f t="shared" si="4"/>
        <v>Pune</v>
      </c>
      <c r="M29" t="str">
        <f t="shared" si="4"/>
        <v>Satara</v>
      </c>
    </row>
    <row r="30" spans="1:18" x14ac:dyDescent="0.35">
      <c r="A30" s="34">
        <v>29</v>
      </c>
      <c r="B30" s="34" t="s">
        <v>105</v>
      </c>
      <c r="C30" s="34" t="s">
        <v>72</v>
      </c>
      <c r="D30" s="34" t="s">
        <v>81</v>
      </c>
      <c r="E30" s="34">
        <v>80</v>
      </c>
    </row>
    <row r="31" spans="1:18" x14ac:dyDescent="0.35">
      <c r="A31" s="34">
        <v>30</v>
      </c>
      <c r="B31" s="34" t="s">
        <v>106</v>
      </c>
      <c r="C31" s="34"/>
      <c r="D31" s="34" t="s">
        <v>85</v>
      </c>
      <c r="E31" s="34" t="s">
        <v>78</v>
      </c>
    </row>
  </sheetData>
  <dataValidations count="1">
    <dataValidation type="list" allowBlank="1" showInputMessage="1" showErrorMessage="1" sqref="I25" xr:uid="{DA317CAA-C940-42F6-B853-5A026E07D493}">
      <formula1>$D$2:$D$31</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EE70-AA5E-4509-9144-F374BD72A8D0}">
  <dimension ref="A1:Z33"/>
  <sheetViews>
    <sheetView workbookViewId="0">
      <selection activeCell="M14" sqref="M14"/>
    </sheetView>
  </sheetViews>
  <sheetFormatPr defaultRowHeight="14.5" x14ac:dyDescent="0.35"/>
  <cols>
    <col min="2" max="2" width="13.453125" bestFit="1" customWidth="1"/>
    <col min="11" max="11" width="4.453125" customWidth="1"/>
    <col min="12" max="12" width="12.7265625" bestFit="1" customWidth="1"/>
    <col min="15" max="15" width="56" bestFit="1" customWidth="1"/>
  </cols>
  <sheetData>
    <row r="1" spans="1:26" x14ac:dyDescent="0.35">
      <c r="A1" s="33" t="s">
        <v>61</v>
      </c>
      <c r="B1" s="33" t="s">
        <v>62</v>
      </c>
      <c r="C1" s="33" t="s">
        <v>63</v>
      </c>
      <c r="D1" s="35" t="s">
        <v>81</v>
      </c>
      <c r="E1" s="35" t="s">
        <v>107</v>
      </c>
      <c r="F1" s="35" t="s">
        <v>85</v>
      </c>
      <c r="G1" s="35" t="s">
        <v>70</v>
      </c>
      <c r="H1" s="35" t="s">
        <v>77</v>
      </c>
      <c r="I1" s="36" t="s">
        <v>108</v>
      </c>
      <c r="J1" s="35" t="s">
        <v>109</v>
      </c>
    </row>
    <row r="2" spans="1:26" x14ac:dyDescent="0.35">
      <c r="A2" s="34">
        <v>1</v>
      </c>
      <c r="B2" s="34" t="s">
        <v>66</v>
      </c>
      <c r="C2" s="34" t="s">
        <v>98</v>
      </c>
      <c r="D2" s="34">
        <v>80</v>
      </c>
      <c r="E2" s="34" t="s">
        <v>78</v>
      </c>
      <c r="F2" s="34">
        <v>85</v>
      </c>
      <c r="G2" s="34">
        <v>48</v>
      </c>
      <c r="H2" s="34">
        <v>80</v>
      </c>
      <c r="I2" s="37">
        <v>87</v>
      </c>
      <c r="J2" s="38">
        <f>(SUM(D2:I2)/600)*100</f>
        <v>63.333333333333329</v>
      </c>
      <c r="K2" s="30"/>
    </row>
    <row r="3" spans="1:26" ht="29" x14ac:dyDescent="0.35">
      <c r="A3" s="34">
        <v>2</v>
      </c>
      <c r="B3" s="34" t="s">
        <v>68</v>
      </c>
      <c r="C3" s="34" t="s">
        <v>80</v>
      </c>
      <c r="D3" s="34">
        <v>82</v>
      </c>
      <c r="E3" s="34">
        <v>80</v>
      </c>
      <c r="F3" s="34">
        <v>52</v>
      </c>
      <c r="G3" s="34">
        <v>80</v>
      </c>
      <c r="H3" s="34">
        <v>82</v>
      </c>
      <c r="I3" s="37">
        <v>80</v>
      </c>
      <c r="J3" s="38">
        <f t="shared" ref="J3:J31" si="0">(SUM(D3:I3)/600)*100</f>
        <v>76</v>
      </c>
      <c r="L3" s="39" t="s">
        <v>110</v>
      </c>
      <c r="M3" s="19">
        <v>4</v>
      </c>
      <c r="O3" s="41" t="s">
        <v>111</v>
      </c>
      <c r="Q3" s="44" t="s">
        <v>61</v>
      </c>
      <c r="R3" s="44" t="s">
        <v>62</v>
      </c>
      <c r="S3" s="44" t="s">
        <v>63</v>
      </c>
      <c r="T3" s="44" t="s">
        <v>81</v>
      </c>
      <c r="U3" s="44" t="s">
        <v>107</v>
      </c>
      <c r="V3" s="44" t="s">
        <v>85</v>
      </c>
      <c r="W3" s="44" t="s">
        <v>70</v>
      </c>
      <c r="X3" s="44" t="s">
        <v>77</v>
      </c>
      <c r="Y3" s="44" t="s">
        <v>108</v>
      </c>
      <c r="Z3" s="44" t="s">
        <v>109</v>
      </c>
    </row>
    <row r="4" spans="1:26" x14ac:dyDescent="0.35">
      <c r="A4" s="34">
        <v>3</v>
      </c>
      <c r="B4" s="34" t="s">
        <v>71</v>
      </c>
      <c r="C4" s="34" t="s">
        <v>72</v>
      </c>
      <c r="D4" s="34">
        <v>80</v>
      </c>
      <c r="E4" s="34">
        <v>82</v>
      </c>
      <c r="F4" s="34">
        <v>48</v>
      </c>
      <c r="G4" s="34" t="s">
        <v>78</v>
      </c>
      <c r="H4" s="34">
        <v>80</v>
      </c>
      <c r="I4" s="37" t="s">
        <v>78</v>
      </c>
      <c r="J4" s="38">
        <f t="shared" si="0"/>
        <v>48.333333333333336</v>
      </c>
      <c r="L4" s="39" t="s">
        <v>112</v>
      </c>
      <c r="M4" s="39" t="s">
        <v>65</v>
      </c>
      <c r="Q4" s="43">
        <v>1</v>
      </c>
      <c r="R4" s="43" t="s">
        <v>66</v>
      </c>
      <c r="S4" s="43" t="s">
        <v>98</v>
      </c>
      <c r="T4" s="43">
        <v>80</v>
      </c>
      <c r="U4" s="43" t="s">
        <v>78</v>
      </c>
      <c r="V4" s="43">
        <v>85</v>
      </c>
      <c r="W4" s="43">
        <v>48</v>
      </c>
      <c r="X4" s="43">
        <v>80</v>
      </c>
      <c r="Y4" s="43">
        <v>87</v>
      </c>
      <c r="Z4" s="43">
        <v>63.33</v>
      </c>
    </row>
    <row r="5" spans="1:26" x14ac:dyDescent="0.35">
      <c r="A5" s="34">
        <v>4</v>
      </c>
      <c r="B5" s="34" t="s">
        <v>75</v>
      </c>
      <c r="C5" s="34" t="s">
        <v>76</v>
      </c>
      <c r="D5" s="34" t="s">
        <v>78</v>
      </c>
      <c r="E5" s="34">
        <v>80</v>
      </c>
      <c r="F5" s="34">
        <v>69</v>
      </c>
      <c r="G5" s="34">
        <v>80</v>
      </c>
      <c r="H5" s="34" t="s">
        <v>78</v>
      </c>
      <c r="I5" s="37">
        <v>80</v>
      </c>
      <c r="J5" s="38">
        <f t="shared" si="0"/>
        <v>51.5</v>
      </c>
      <c r="L5" s="40" t="s">
        <v>70</v>
      </c>
      <c r="M5" s="19">
        <f>INDEX($A$1:$J$31,MATCH($M$3,$A$1:$A$31,0),MATCH($L5,$A$1:$J$1,0))</f>
        <v>80</v>
      </c>
      <c r="N5">
        <f>INDEX(A1:J31,MATCH(M3,A1:A31,0),MATCH(L5,A1:J1,0))</f>
        <v>80</v>
      </c>
      <c r="Q5" s="43">
        <v>2</v>
      </c>
      <c r="R5" s="43" t="s">
        <v>68</v>
      </c>
      <c r="S5" s="43" t="s">
        <v>80</v>
      </c>
      <c r="T5" s="43">
        <v>82</v>
      </c>
      <c r="U5" s="43">
        <v>80</v>
      </c>
      <c r="V5" s="43">
        <v>52</v>
      </c>
      <c r="W5" s="43">
        <v>80</v>
      </c>
      <c r="X5" s="43">
        <v>82</v>
      </c>
      <c r="Y5" s="43">
        <v>80</v>
      </c>
      <c r="Z5" s="43">
        <v>76</v>
      </c>
    </row>
    <row r="6" spans="1:26" x14ac:dyDescent="0.35">
      <c r="A6" s="34">
        <v>5</v>
      </c>
      <c r="B6" s="34" t="s">
        <v>79</v>
      </c>
      <c r="C6" s="34" t="s">
        <v>80</v>
      </c>
      <c r="D6" s="34">
        <v>80</v>
      </c>
      <c r="E6" s="34" t="s">
        <v>78</v>
      </c>
      <c r="F6" s="34">
        <v>80</v>
      </c>
      <c r="G6" s="34">
        <v>82</v>
      </c>
      <c r="H6" s="34">
        <v>80</v>
      </c>
      <c r="I6" s="37">
        <v>82</v>
      </c>
      <c r="J6" s="38">
        <f t="shared" si="0"/>
        <v>67.333333333333329</v>
      </c>
      <c r="L6" s="40" t="s">
        <v>77</v>
      </c>
      <c r="M6" s="19" t="str">
        <f t="shared" ref="M6:M7" si="1">INDEX($A$1:$J$31,MATCH($M$3,$A$1:$A$31,0),MATCH($L6,$A$1:$J$1,0))</f>
        <v>AB</v>
      </c>
      <c r="N6" t="str">
        <f>INDEX($A$1:$J$31,MATCH($M$3,$A$1:$A$31,0),MATCH($L6,$A$1:$J$1,0))</f>
        <v>AB</v>
      </c>
      <c r="Q6" s="43">
        <v>3</v>
      </c>
      <c r="R6" s="43" t="s">
        <v>71</v>
      </c>
      <c r="S6" s="43" t="s">
        <v>72</v>
      </c>
      <c r="T6" s="43">
        <v>80</v>
      </c>
      <c r="U6" s="43">
        <v>82</v>
      </c>
      <c r="V6" s="43">
        <v>48</v>
      </c>
      <c r="W6" s="43" t="s">
        <v>78</v>
      </c>
      <c r="X6" s="43">
        <v>80</v>
      </c>
      <c r="Y6" s="43" t="s">
        <v>78</v>
      </c>
      <c r="Z6" s="43">
        <v>48.33</v>
      </c>
    </row>
    <row r="7" spans="1:26" x14ac:dyDescent="0.35">
      <c r="A7" s="34">
        <v>6</v>
      </c>
      <c r="B7" s="34" t="s">
        <v>84</v>
      </c>
      <c r="C7" s="34" t="s">
        <v>72</v>
      </c>
      <c r="D7" s="34">
        <v>70</v>
      </c>
      <c r="E7" s="34">
        <v>80</v>
      </c>
      <c r="F7" s="34">
        <v>80</v>
      </c>
      <c r="G7" s="34">
        <v>80</v>
      </c>
      <c r="H7" s="34">
        <v>70</v>
      </c>
      <c r="I7" s="37">
        <v>80</v>
      </c>
      <c r="J7" s="38">
        <f t="shared" si="0"/>
        <v>76.666666666666671</v>
      </c>
      <c r="L7" s="40" t="s">
        <v>108</v>
      </c>
      <c r="M7" s="19">
        <f t="shared" si="1"/>
        <v>80</v>
      </c>
      <c r="N7">
        <f>INDEX($A$1:$J$31,MATCH($M$3,$A$1:$A$31,0),MATCH($L7,$A$1:$J$1,0))</f>
        <v>80</v>
      </c>
      <c r="Q7" s="43">
        <v>4</v>
      </c>
      <c r="R7" s="43" t="s">
        <v>75</v>
      </c>
      <c r="S7" s="43"/>
      <c r="T7" s="43" t="s">
        <v>78</v>
      </c>
      <c r="U7" s="43">
        <v>80</v>
      </c>
      <c r="V7" s="43">
        <v>69</v>
      </c>
      <c r="W7" s="43">
        <v>80</v>
      </c>
      <c r="X7" s="43" t="s">
        <v>78</v>
      </c>
      <c r="Y7" s="43">
        <v>80</v>
      </c>
      <c r="Z7" s="43">
        <v>51.5</v>
      </c>
    </row>
    <row r="8" spans="1:26" x14ac:dyDescent="0.35">
      <c r="A8" s="34">
        <v>7</v>
      </c>
      <c r="B8" s="34" t="s">
        <v>88</v>
      </c>
      <c r="C8" s="34" t="s">
        <v>72</v>
      </c>
      <c r="D8" s="34">
        <v>89</v>
      </c>
      <c r="E8" s="34">
        <v>70</v>
      </c>
      <c r="F8" s="34" t="s">
        <v>78</v>
      </c>
      <c r="G8" s="34" t="s">
        <v>78</v>
      </c>
      <c r="H8" s="34">
        <v>89</v>
      </c>
      <c r="I8" s="37" t="s">
        <v>78</v>
      </c>
      <c r="J8" s="38">
        <f t="shared" si="0"/>
        <v>41.333333333333336</v>
      </c>
      <c r="Q8" s="43">
        <v>5</v>
      </c>
      <c r="R8" s="43" t="s">
        <v>79</v>
      </c>
      <c r="S8" s="43" t="s">
        <v>80</v>
      </c>
      <c r="T8" s="43">
        <v>80</v>
      </c>
      <c r="U8" s="43" t="s">
        <v>78</v>
      </c>
      <c r="V8" s="43">
        <v>80</v>
      </c>
      <c r="W8" s="43">
        <v>82</v>
      </c>
      <c r="X8" s="43">
        <v>80</v>
      </c>
      <c r="Y8" s="43">
        <v>82</v>
      </c>
      <c r="Z8" s="43">
        <v>67.33</v>
      </c>
    </row>
    <row r="9" spans="1:26" x14ac:dyDescent="0.35">
      <c r="A9" s="34">
        <v>8</v>
      </c>
      <c r="B9" s="34" t="s">
        <v>91</v>
      </c>
      <c r="C9" s="34" t="s">
        <v>72</v>
      </c>
      <c r="D9" s="34">
        <v>80</v>
      </c>
      <c r="E9" s="34">
        <v>89</v>
      </c>
      <c r="F9" s="34">
        <v>80</v>
      </c>
      <c r="G9" s="34">
        <v>80</v>
      </c>
      <c r="H9" s="34">
        <v>80</v>
      </c>
      <c r="I9" s="37">
        <v>80</v>
      </c>
      <c r="J9" s="38">
        <f t="shared" si="0"/>
        <v>81.5</v>
      </c>
      <c r="Q9" s="43">
        <v>6</v>
      </c>
      <c r="R9" s="43" t="s">
        <v>84</v>
      </c>
      <c r="S9" s="43" t="s">
        <v>72</v>
      </c>
      <c r="T9" s="43">
        <v>70</v>
      </c>
      <c r="U9" s="43">
        <v>80</v>
      </c>
      <c r="V9" s="43">
        <v>80</v>
      </c>
      <c r="W9" s="43">
        <v>80</v>
      </c>
      <c r="X9" s="43">
        <v>70</v>
      </c>
      <c r="Y9" s="43">
        <v>80</v>
      </c>
      <c r="Z9" s="43">
        <v>76.67</v>
      </c>
    </row>
    <row r="10" spans="1:26" x14ac:dyDescent="0.35">
      <c r="A10" s="34">
        <v>9</v>
      </c>
      <c r="B10" s="34" t="s">
        <v>92</v>
      </c>
      <c r="C10" s="34"/>
      <c r="D10" s="34" t="s">
        <v>78</v>
      </c>
      <c r="E10" s="34">
        <v>80</v>
      </c>
      <c r="F10" s="34">
        <v>89</v>
      </c>
      <c r="G10" s="34">
        <v>70</v>
      </c>
      <c r="H10" s="34" t="s">
        <v>78</v>
      </c>
      <c r="I10" s="37">
        <v>70</v>
      </c>
      <c r="J10" s="38">
        <f t="shared" si="0"/>
        <v>51.5</v>
      </c>
      <c r="L10" s="42"/>
      <c r="Q10" s="43">
        <v>7</v>
      </c>
      <c r="R10" s="43" t="s">
        <v>88</v>
      </c>
      <c r="S10" s="43" t="s">
        <v>72</v>
      </c>
      <c r="T10" s="43">
        <v>89</v>
      </c>
      <c r="U10" s="43">
        <v>70</v>
      </c>
      <c r="V10" s="43" t="s">
        <v>78</v>
      </c>
      <c r="W10" s="43" t="s">
        <v>78</v>
      </c>
      <c r="X10" s="43">
        <v>89</v>
      </c>
      <c r="Y10" s="43" t="s">
        <v>78</v>
      </c>
      <c r="Z10" s="43">
        <v>41.33</v>
      </c>
    </row>
    <row r="11" spans="1:26" x14ac:dyDescent="0.35">
      <c r="A11" s="34">
        <v>10</v>
      </c>
      <c r="B11" s="34" t="s">
        <v>93</v>
      </c>
      <c r="C11" s="34" t="s">
        <v>72</v>
      </c>
      <c r="D11" s="34">
        <v>80</v>
      </c>
      <c r="E11" s="34" t="s">
        <v>78</v>
      </c>
      <c r="F11" s="34">
        <v>80</v>
      </c>
      <c r="G11" s="34">
        <v>89</v>
      </c>
      <c r="H11" s="34">
        <v>80</v>
      </c>
      <c r="I11" s="37">
        <v>89</v>
      </c>
      <c r="J11" s="38">
        <f t="shared" si="0"/>
        <v>69.666666666666671</v>
      </c>
      <c r="Q11" s="43">
        <v>8</v>
      </c>
      <c r="R11" s="43" t="s">
        <v>91</v>
      </c>
      <c r="S11" s="43" t="s">
        <v>72</v>
      </c>
      <c r="T11" s="43">
        <v>80</v>
      </c>
      <c r="U11" s="43">
        <v>89</v>
      </c>
      <c r="V11" s="43">
        <v>80</v>
      </c>
      <c r="W11" s="43">
        <v>80</v>
      </c>
      <c r="X11" s="43">
        <v>80</v>
      </c>
      <c r="Y11" s="43">
        <v>80</v>
      </c>
      <c r="Z11" s="43">
        <v>81.5</v>
      </c>
    </row>
    <row r="12" spans="1:26" x14ac:dyDescent="0.35">
      <c r="A12" s="34">
        <v>11</v>
      </c>
      <c r="B12" s="34" t="s">
        <v>95</v>
      </c>
      <c r="C12" s="34" t="s">
        <v>80</v>
      </c>
      <c r="D12" s="34">
        <v>55</v>
      </c>
      <c r="E12" s="34">
        <v>80</v>
      </c>
      <c r="F12" s="34">
        <v>80</v>
      </c>
      <c r="G12" s="34">
        <v>80</v>
      </c>
      <c r="H12" s="34">
        <v>55</v>
      </c>
      <c r="I12" s="37">
        <v>80</v>
      </c>
      <c r="J12" s="38">
        <f t="shared" si="0"/>
        <v>71.666666666666671</v>
      </c>
      <c r="Q12" s="43">
        <v>9</v>
      </c>
      <c r="R12" s="43" t="s">
        <v>92</v>
      </c>
      <c r="S12" s="43"/>
      <c r="T12" s="43" t="s">
        <v>78</v>
      </c>
      <c r="U12" s="43">
        <v>80</v>
      </c>
      <c r="V12" s="43">
        <v>89</v>
      </c>
      <c r="W12" s="43">
        <v>70</v>
      </c>
      <c r="X12" s="43" t="s">
        <v>78</v>
      </c>
      <c r="Y12" s="43">
        <v>70</v>
      </c>
      <c r="Z12" s="43">
        <v>51.5</v>
      </c>
    </row>
    <row r="13" spans="1:26" x14ac:dyDescent="0.35">
      <c r="A13" s="34">
        <v>12</v>
      </c>
      <c r="B13" s="34" t="s">
        <v>96</v>
      </c>
      <c r="C13" s="34"/>
      <c r="D13" s="34">
        <v>66</v>
      </c>
      <c r="E13" s="34">
        <v>55</v>
      </c>
      <c r="F13" s="34">
        <v>48</v>
      </c>
      <c r="G13" s="34" t="s">
        <v>78</v>
      </c>
      <c r="H13" s="34">
        <v>66</v>
      </c>
      <c r="I13" s="37" t="s">
        <v>78</v>
      </c>
      <c r="J13" s="38">
        <f t="shared" si="0"/>
        <v>39.166666666666664</v>
      </c>
      <c r="Q13" s="43">
        <v>10</v>
      </c>
      <c r="R13" s="43" t="s">
        <v>93</v>
      </c>
      <c r="S13" s="43" t="s">
        <v>72</v>
      </c>
      <c r="T13" s="43">
        <v>80</v>
      </c>
      <c r="U13" s="43" t="s">
        <v>78</v>
      </c>
      <c r="V13" s="43">
        <v>80</v>
      </c>
      <c r="W13" s="43">
        <v>89</v>
      </c>
      <c r="X13" s="43">
        <v>80</v>
      </c>
      <c r="Y13" s="43">
        <v>89</v>
      </c>
      <c r="Z13" s="43">
        <v>69.67</v>
      </c>
    </row>
    <row r="14" spans="1:26" x14ac:dyDescent="0.35">
      <c r="A14" s="34">
        <v>13</v>
      </c>
      <c r="B14" s="34" t="s">
        <v>97</v>
      </c>
      <c r="C14" s="34" t="s">
        <v>72</v>
      </c>
      <c r="D14" s="34">
        <v>87</v>
      </c>
      <c r="E14" s="34">
        <v>66</v>
      </c>
      <c r="F14" s="34">
        <v>80</v>
      </c>
      <c r="G14" s="34">
        <v>80</v>
      </c>
      <c r="H14" s="34">
        <v>87</v>
      </c>
      <c r="I14" s="37">
        <v>80</v>
      </c>
      <c r="J14" s="38">
        <f t="shared" si="0"/>
        <v>80</v>
      </c>
      <c r="Q14" s="43">
        <v>11</v>
      </c>
      <c r="R14" s="43" t="s">
        <v>95</v>
      </c>
      <c r="S14" s="43" t="s">
        <v>80</v>
      </c>
      <c r="T14" s="43">
        <v>55</v>
      </c>
      <c r="U14" s="43">
        <v>80</v>
      </c>
      <c r="V14" s="43">
        <v>80</v>
      </c>
      <c r="W14" s="43">
        <v>80</v>
      </c>
      <c r="X14" s="43">
        <v>55</v>
      </c>
      <c r="Y14" s="43">
        <v>80</v>
      </c>
      <c r="Z14" s="43">
        <v>71.67</v>
      </c>
    </row>
    <row r="15" spans="1:26" x14ac:dyDescent="0.35">
      <c r="A15" s="34">
        <v>14</v>
      </c>
      <c r="B15" s="34" t="s">
        <v>84</v>
      </c>
      <c r="C15" s="34" t="s">
        <v>98</v>
      </c>
      <c r="D15" s="34">
        <v>80</v>
      </c>
      <c r="E15" s="34">
        <v>87</v>
      </c>
      <c r="F15" s="34" t="s">
        <v>78</v>
      </c>
      <c r="G15" s="34">
        <v>55</v>
      </c>
      <c r="H15" s="34">
        <v>80</v>
      </c>
      <c r="I15" s="37">
        <v>55</v>
      </c>
      <c r="J15" s="38">
        <f t="shared" si="0"/>
        <v>59.5</v>
      </c>
      <c r="Q15" s="43">
        <v>12</v>
      </c>
      <c r="R15" s="43" t="s">
        <v>96</v>
      </c>
      <c r="S15" s="43"/>
      <c r="T15" s="43">
        <v>66</v>
      </c>
      <c r="U15" s="43">
        <v>55</v>
      </c>
      <c r="V15" s="43">
        <v>48</v>
      </c>
      <c r="W15" s="43" t="s">
        <v>78</v>
      </c>
      <c r="X15" s="43">
        <v>66</v>
      </c>
      <c r="Y15" s="43" t="s">
        <v>78</v>
      </c>
      <c r="Z15" s="43">
        <v>39.17</v>
      </c>
    </row>
    <row r="16" spans="1:26" x14ac:dyDescent="0.35">
      <c r="A16" s="34">
        <v>15</v>
      </c>
      <c r="B16" s="34" t="s">
        <v>99</v>
      </c>
      <c r="C16" s="34" t="s">
        <v>72</v>
      </c>
      <c r="D16" s="34" t="s">
        <v>78</v>
      </c>
      <c r="E16" s="34">
        <v>80</v>
      </c>
      <c r="F16" s="34">
        <v>80</v>
      </c>
      <c r="G16" s="34">
        <v>66</v>
      </c>
      <c r="H16" s="34" t="s">
        <v>78</v>
      </c>
      <c r="I16" s="37">
        <v>66</v>
      </c>
      <c r="J16" s="38">
        <f t="shared" si="0"/>
        <v>48.666666666666671</v>
      </c>
      <c r="Q16" s="43">
        <v>13</v>
      </c>
      <c r="R16" s="43" t="s">
        <v>97</v>
      </c>
      <c r="S16" s="43" t="s">
        <v>72</v>
      </c>
      <c r="T16" s="43">
        <v>87</v>
      </c>
      <c r="U16" s="43">
        <v>66</v>
      </c>
      <c r="V16" s="43">
        <v>80</v>
      </c>
      <c r="W16" s="43">
        <v>80</v>
      </c>
      <c r="X16" s="43">
        <v>87</v>
      </c>
      <c r="Y16" s="43">
        <v>80</v>
      </c>
      <c r="Z16" s="43">
        <v>80</v>
      </c>
    </row>
    <row r="17" spans="1:26" x14ac:dyDescent="0.35">
      <c r="A17" s="34">
        <v>16</v>
      </c>
      <c r="B17" s="34" t="s">
        <v>75</v>
      </c>
      <c r="C17" s="34"/>
      <c r="D17" s="34">
        <v>80</v>
      </c>
      <c r="E17" s="34" t="s">
        <v>78</v>
      </c>
      <c r="F17" s="34">
        <v>82</v>
      </c>
      <c r="G17" s="34">
        <v>87</v>
      </c>
      <c r="H17" s="34">
        <v>80</v>
      </c>
      <c r="I17" s="37">
        <v>87</v>
      </c>
      <c r="J17" s="38">
        <f t="shared" si="0"/>
        <v>69.333333333333343</v>
      </c>
      <c r="Q17" s="43">
        <v>14</v>
      </c>
      <c r="R17" s="43" t="s">
        <v>84</v>
      </c>
      <c r="S17" s="43" t="s">
        <v>98</v>
      </c>
      <c r="T17" s="43">
        <v>80</v>
      </c>
      <c r="U17" s="43">
        <v>87</v>
      </c>
      <c r="V17" s="43" t="s">
        <v>78</v>
      </c>
      <c r="W17" s="43">
        <v>55</v>
      </c>
      <c r="X17" s="43">
        <v>80</v>
      </c>
      <c r="Y17" s="43">
        <v>55</v>
      </c>
      <c r="Z17" s="43">
        <v>59.5</v>
      </c>
    </row>
    <row r="18" spans="1:26" x14ac:dyDescent="0.35">
      <c r="A18" s="34">
        <v>17</v>
      </c>
      <c r="B18" s="34" t="s">
        <v>79</v>
      </c>
      <c r="C18" s="34" t="s">
        <v>72</v>
      </c>
      <c r="D18" s="34">
        <v>85</v>
      </c>
      <c r="E18" s="34">
        <v>80</v>
      </c>
      <c r="F18" s="34">
        <v>80</v>
      </c>
      <c r="G18" s="34">
        <v>80</v>
      </c>
      <c r="H18" s="34">
        <v>85</v>
      </c>
      <c r="I18" s="37">
        <v>80</v>
      </c>
      <c r="J18" s="38">
        <f t="shared" si="0"/>
        <v>81.666666666666671</v>
      </c>
      <c r="Q18" s="43">
        <v>15</v>
      </c>
      <c r="R18" s="43" t="s">
        <v>99</v>
      </c>
      <c r="S18" s="43" t="s">
        <v>72</v>
      </c>
      <c r="T18" s="43" t="s">
        <v>78</v>
      </c>
      <c r="U18" s="43">
        <v>80</v>
      </c>
      <c r="V18" s="43">
        <v>80</v>
      </c>
      <c r="W18" s="43">
        <v>66</v>
      </c>
      <c r="X18" s="43" t="s">
        <v>78</v>
      </c>
      <c r="Y18" s="43">
        <v>66</v>
      </c>
      <c r="Z18" s="43">
        <v>48.67</v>
      </c>
    </row>
    <row r="19" spans="1:26" x14ac:dyDescent="0.35">
      <c r="A19" s="34">
        <v>18</v>
      </c>
      <c r="B19" s="34" t="s">
        <v>113</v>
      </c>
      <c r="C19" s="34" t="s">
        <v>72</v>
      </c>
      <c r="D19" s="34">
        <v>52</v>
      </c>
      <c r="E19" s="34" t="s">
        <v>78</v>
      </c>
      <c r="F19" s="34" t="s">
        <v>78</v>
      </c>
      <c r="G19" s="34" t="s">
        <v>78</v>
      </c>
      <c r="H19" s="34">
        <v>52</v>
      </c>
      <c r="I19" s="37" t="s">
        <v>78</v>
      </c>
      <c r="J19" s="38">
        <f t="shared" si="0"/>
        <v>17.333333333333336</v>
      </c>
      <c r="Q19" s="43">
        <v>16</v>
      </c>
      <c r="R19" s="43" t="s">
        <v>75</v>
      </c>
      <c r="S19" s="43"/>
      <c r="T19" s="43">
        <v>80</v>
      </c>
      <c r="U19" s="43" t="s">
        <v>78</v>
      </c>
      <c r="V19" s="43">
        <v>82</v>
      </c>
      <c r="W19" s="43">
        <v>87</v>
      </c>
      <c r="X19" s="43">
        <v>80</v>
      </c>
      <c r="Y19" s="43">
        <v>87</v>
      </c>
      <c r="Z19" s="43">
        <v>69.33</v>
      </c>
    </row>
    <row r="20" spans="1:26" x14ac:dyDescent="0.35">
      <c r="A20" s="34">
        <v>19</v>
      </c>
      <c r="B20" s="34" t="s">
        <v>114</v>
      </c>
      <c r="C20" s="34" t="s">
        <v>72</v>
      </c>
      <c r="D20" s="34">
        <v>48</v>
      </c>
      <c r="E20" s="34">
        <v>80</v>
      </c>
      <c r="F20" s="34">
        <v>80</v>
      </c>
      <c r="G20" s="34">
        <v>80</v>
      </c>
      <c r="H20" s="34">
        <v>48</v>
      </c>
      <c r="I20" s="37">
        <v>80</v>
      </c>
      <c r="J20" s="38">
        <f t="shared" si="0"/>
        <v>69.333333333333343</v>
      </c>
      <c r="Q20" s="43">
        <v>17</v>
      </c>
      <c r="R20" s="43" t="s">
        <v>79</v>
      </c>
      <c r="S20" s="43" t="s">
        <v>72</v>
      </c>
      <c r="T20" s="43">
        <v>85</v>
      </c>
      <c r="U20" s="43">
        <v>80</v>
      </c>
      <c r="V20" s="43">
        <v>80</v>
      </c>
      <c r="W20" s="43">
        <v>80</v>
      </c>
      <c r="X20" s="43">
        <v>85</v>
      </c>
      <c r="Y20" s="43">
        <v>80</v>
      </c>
      <c r="Z20" s="43">
        <v>81.67</v>
      </c>
    </row>
    <row r="21" spans="1:26" x14ac:dyDescent="0.35">
      <c r="A21" s="34">
        <v>20</v>
      </c>
      <c r="B21" s="34" t="s">
        <v>115</v>
      </c>
      <c r="C21" s="34"/>
      <c r="D21" s="34">
        <v>69</v>
      </c>
      <c r="E21" s="34">
        <v>82</v>
      </c>
      <c r="F21" s="34">
        <v>70</v>
      </c>
      <c r="G21" s="34">
        <v>85</v>
      </c>
      <c r="H21" s="34">
        <v>69</v>
      </c>
      <c r="I21" s="37">
        <v>85</v>
      </c>
      <c r="J21" s="38">
        <f t="shared" si="0"/>
        <v>76.666666666666671</v>
      </c>
      <c r="Q21" s="43">
        <v>18</v>
      </c>
      <c r="R21" s="43" t="s">
        <v>113</v>
      </c>
      <c r="S21" s="43" t="s">
        <v>72</v>
      </c>
      <c r="T21" s="43">
        <v>52</v>
      </c>
      <c r="U21" s="43" t="s">
        <v>78</v>
      </c>
      <c r="V21" s="43" t="s">
        <v>78</v>
      </c>
      <c r="W21" s="43" t="s">
        <v>78</v>
      </c>
      <c r="X21" s="43">
        <v>52</v>
      </c>
      <c r="Y21" s="43" t="s">
        <v>78</v>
      </c>
      <c r="Z21" s="43">
        <v>17.329999999999998</v>
      </c>
    </row>
    <row r="22" spans="1:26" x14ac:dyDescent="0.35">
      <c r="A22" s="34">
        <v>21</v>
      </c>
      <c r="B22" s="34" t="s">
        <v>116</v>
      </c>
      <c r="C22" s="34" t="s">
        <v>72</v>
      </c>
      <c r="D22" s="34">
        <v>80</v>
      </c>
      <c r="E22" s="34">
        <v>80</v>
      </c>
      <c r="F22" s="34">
        <v>89</v>
      </c>
      <c r="G22" s="34">
        <v>52</v>
      </c>
      <c r="H22" s="34">
        <v>80</v>
      </c>
      <c r="I22" s="37">
        <v>52</v>
      </c>
      <c r="J22" s="38">
        <f t="shared" si="0"/>
        <v>72.166666666666671</v>
      </c>
      <c r="Q22" s="43">
        <v>19</v>
      </c>
      <c r="R22" s="43" t="s">
        <v>114</v>
      </c>
      <c r="S22" s="43" t="s">
        <v>72</v>
      </c>
      <c r="T22" s="43">
        <v>48</v>
      </c>
      <c r="U22" s="43">
        <v>80</v>
      </c>
      <c r="V22" s="43">
        <v>80</v>
      </c>
      <c r="W22" s="43">
        <v>80</v>
      </c>
      <c r="X22" s="43">
        <v>48</v>
      </c>
      <c r="Y22" s="43">
        <v>80</v>
      </c>
      <c r="Z22" s="43">
        <v>69.33</v>
      </c>
    </row>
    <row r="23" spans="1:26" x14ac:dyDescent="0.35">
      <c r="A23" s="34">
        <v>22</v>
      </c>
      <c r="B23" s="34" t="s">
        <v>117</v>
      </c>
      <c r="C23" s="34" t="s">
        <v>72</v>
      </c>
      <c r="D23" s="34">
        <v>80</v>
      </c>
      <c r="E23" s="34" t="s">
        <v>78</v>
      </c>
      <c r="F23" s="34">
        <v>80</v>
      </c>
      <c r="G23" s="34">
        <v>48</v>
      </c>
      <c r="H23" s="34">
        <v>80</v>
      </c>
      <c r="I23" s="37">
        <v>48</v>
      </c>
      <c r="J23" s="38">
        <f t="shared" si="0"/>
        <v>56.000000000000007</v>
      </c>
      <c r="Q23" s="43">
        <v>20</v>
      </c>
      <c r="R23" s="43" t="s">
        <v>115</v>
      </c>
      <c r="S23" s="43"/>
      <c r="T23" s="43">
        <v>69</v>
      </c>
      <c r="U23" s="43">
        <v>82</v>
      </c>
      <c r="V23" s="43">
        <v>70</v>
      </c>
      <c r="W23" s="43">
        <v>85</v>
      </c>
      <c r="X23" s="43">
        <v>69</v>
      </c>
      <c r="Y23" s="43">
        <v>85</v>
      </c>
      <c r="Z23" s="43">
        <v>76.67</v>
      </c>
    </row>
    <row r="24" spans="1:26" x14ac:dyDescent="0.35">
      <c r="A24" s="34">
        <v>23</v>
      </c>
      <c r="B24" s="34" t="s">
        <v>118</v>
      </c>
      <c r="C24" s="34" t="s">
        <v>80</v>
      </c>
      <c r="D24" s="34" t="s">
        <v>78</v>
      </c>
      <c r="E24" s="34">
        <v>80</v>
      </c>
      <c r="F24" s="34" t="s">
        <v>78</v>
      </c>
      <c r="G24" s="34">
        <v>69</v>
      </c>
      <c r="H24" s="34" t="s">
        <v>78</v>
      </c>
      <c r="I24" s="37">
        <v>69</v>
      </c>
      <c r="J24" s="38">
        <f t="shared" si="0"/>
        <v>36.333333333333336</v>
      </c>
      <c r="Q24" s="43">
        <v>21</v>
      </c>
      <c r="R24" s="43" t="s">
        <v>116</v>
      </c>
      <c r="S24" s="43" t="s">
        <v>72</v>
      </c>
      <c r="T24" s="43">
        <v>80</v>
      </c>
      <c r="U24" s="43">
        <v>80</v>
      </c>
      <c r="V24" s="43">
        <v>89</v>
      </c>
      <c r="W24" s="43">
        <v>52</v>
      </c>
      <c r="X24" s="43">
        <v>80</v>
      </c>
      <c r="Y24" s="43">
        <v>52</v>
      </c>
      <c r="Z24" s="43">
        <v>72.17</v>
      </c>
    </row>
    <row r="25" spans="1:26" x14ac:dyDescent="0.35">
      <c r="A25" s="34">
        <v>24</v>
      </c>
      <c r="B25" s="34" t="s">
        <v>119</v>
      </c>
      <c r="C25" s="34" t="s">
        <v>72</v>
      </c>
      <c r="D25" s="34">
        <v>80</v>
      </c>
      <c r="E25" s="34">
        <v>70</v>
      </c>
      <c r="F25" s="34">
        <v>80</v>
      </c>
      <c r="G25" s="34">
        <v>80</v>
      </c>
      <c r="H25" s="34">
        <v>80</v>
      </c>
      <c r="I25" s="37">
        <v>80</v>
      </c>
      <c r="J25" s="38">
        <f t="shared" si="0"/>
        <v>78.333333333333329</v>
      </c>
      <c r="Q25" s="43">
        <v>22</v>
      </c>
      <c r="R25" s="43" t="s">
        <v>117</v>
      </c>
      <c r="S25" s="43" t="s">
        <v>72</v>
      </c>
      <c r="T25" s="43">
        <v>80</v>
      </c>
      <c r="U25" s="43" t="s">
        <v>78</v>
      </c>
      <c r="V25" s="43">
        <v>80</v>
      </c>
      <c r="W25" s="43">
        <v>48</v>
      </c>
      <c r="X25" s="43">
        <v>80</v>
      </c>
      <c r="Y25" s="43">
        <v>48</v>
      </c>
      <c r="Z25" s="43">
        <v>56</v>
      </c>
    </row>
    <row r="26" spans="1:26" x14ac:dyDescent="0.35">
      <c r="A26" s="34">
        <v>25</v>
      </c>
      <c r="B26" s="34" t="s">
        <v>100</v>
      </c>
      <c r="C26" s="34" t="s">
        <v>98</v>
      </c>
      <c r="D26" s="34">
        <v>89</v>
      </c>
      <c r="E26" s="34">
        <v>89</v>
      </c>
      <c r="F26" s="34">
        <v>55</v>
      </c>
      <c r="G26" s="34">
        <v>80</v>
      </c>
      <c r="H26" s="34">
        <v>89</v>
      </c>
      <c r="I26" s="37">
        <v>80</v>
      </c>
      <c r="J26" s="38">
        <f t="shared" si="0"/>
        <v>80.333333333333329</v>
      </c>
      <c r="Q26" s="43">
        <v>23</v>
      </c>
      <c r="R26" s="43" t="s">
        <v>118</v>
      </c>
      <c r="S26" s="43" t="s">
        <v>80</v>
      </c>
      <c r="T26" s="43" t="s">
        <v>78</v>
      </c>
      <c r="U26" s="43">
        <v>80</v>
      </c>
      <c r="V26" s="43" t="s">
        <v>78</v>
      </c>
      <c r="W26" s="43">
        <v>69</v>
      </c>
      <c r="X26" s="43" t="s">
        <v>78</v>
      </c>
      <c r="Y26" s="43">
        <v>69</v>
      </c>
      <c r="Z26" s="43">
        <v>36.33</v>
      </c>
    </row>
    <row r="27" spans="1:26" x14ac:dyDescent="0.35">
      <c r="A27" s="34">
        <v>26</v>
      </c>
      <c r="B27" s="34" t="s">
        <v>101</v>
      </c>
      <c r="C27" s="34" t="s">
        <v>72</v>
      </c>
      <c r="D27" s="34">
        <v>80</v>
      </c>
      <c r="E27" s="34">
        <v>80</v>
      </c>
      <c r="F27" s="34">
        <v>66</v>
      </c>
      <c r="G27" s="34" t="s">
        <v>78</v>
      </c>
      <c r="H27" s="34">
        <v>80</v>
      </c>
      <c r="I27" s="37" t="s">
        <v>78</v>
      </c>
      <c r="J27" s="38">
        <f t="shared" si="0"/>
        <v>51</v>
      </c>
      <c r="Q27" s="43">
        <v>24</v>
      </c>
      <c r="R27" s="43" t="s">
        <v>119</v>
      </c>
      <c r="S27" s="43" t="s">
        <v>72</v>
      </c>
      <c r="T27" s="43">
        <v>80</v>
      </c>
      <c r="U27" s="43">
        <v>70</v>
      </c>
      <c r="V27" s="43">
        <v>80</v>
      </c>
      <c r="W27" s="43">
        <v>80</v>
      </c>
      <c r="X27" s="43">
        <v>80</v>
      </c>
      <c r="Y27" s="43">
        <v>80</v>
      </c>
      <c r="Z27" s="43">
        <v>78.33</v>
      </c>
    </row>
    <row r="28" spans="1:26" x14ac:dyDescent="0.35">
      <c r="A28" s="34">
        <v>27</v>
      </c>
      <c r="B28" s="34" t="s">
        <v>102</v>
      </c>
      <c r="C28" s="34" t="s">
        <v>72</v>
      </c>
      <c r="D28" s="34">
        <v>80</v>
      </c>
      <c r="E28" s="34" t="s">
        <v>78</v>
      </c>
      <c r="F28" s="34">
        <v>87</v>
      </c>
      <c r="G28" s="34">
        <v>80</v>
      </c>
      <c r="H28" s="34">
        <v>80</v>
      </c>
      <c r="I28" s="37">
        <v>80</v>
      </c>
      <c r="J28" s="38">
        <f t="shared" si="0"/>
        <v>67.833333333333329</v>
      </c>
      <c r="Q28" s="43">
        <v>25</v>
      </c>
      <c r="R28" s="43" t="s">
        <v>100</v>
      </c>
      <c r="S28" s="43" t="s">
        <v>98</v>
      </c>
      <c r="T28" s="43">
        <v>89</v>
      </c>
      <c r="U28" s="43">
        <v>89</v>
      </c>
      <c r="V28" s="43">
        <v>55</v>
      </c>
      <c r="W28" s="43">
        <v>80</v>
      </c>
      <c r="X28" s="43">
        <v>89</v>
      </c>
      <c r="Y28" s="43">
        <v>80</v>
      </c>
      <c r="Z28" s="43">
        <v>80.33</v>
      </c>
    </row>
    <row r="29" spans="1:26" x14ac:dyDescent="0.35">
      <c r="A29" s="34">
        <v>28</v>
      </c>
      <c r="B29" s="34" t="s">
        <v>103</v>
      </c>
      <c r="C29" s="34"/>
      <c r="D29" s="34">
        <v>48</v>
      </c>
      <c r="E29" s="34">
        <v>80</v>
      </c>
      <c r="F29" s="34">
        <v>80</v>
      </c>
      <c r="G29" s="34">
        <v>89</v>
      </c>
      <c r="H29" s="34">
        <v>48</v>
      </c>
      <c r="I29" s="37">
        <v>89</v>
      </c>
      <c r="J29" s="38">
        <f t="shared" si="0"/>
        <v>72.333333333333343</v>
      </c>
      <c r="Q29" s="43">
        <v>26</v>
      </c>
      <c r="R29" s="43" t="s">
        <v>101</v>
      </c>
      <c r="S29" s="43" t="s">
        <v>72</v>
      </c>
      <c r="T29" s="43">
        <v>80</v>
      </c>
      <c r="U29" s="43">
        <v>80</v>
      </c>
      <c r="V29" s="43">
        <v>66</v>
      </c>
      <c r="W29" s="43" t="s">
        <v>78</v>
      </c>
      <c r="X29" s="43">
        <v>80</v>
      </c>
      <c r="Y29" s="43" t="s">
        <v>78</v>
      </c>
      <c r="Z29" s="43">
        <v>51</v>
      </c>
    </row>
    <row r="30" spans="1:26" x14ac:dyDescent="0.35">
      <c r="A30" s="34">
        <v>29</v>
      </c>
      <c r="B30" s="34" t="s">
        <v>105</v>
      </c>
      <c r="C30" s="34" t="s">
        <v>72</v>
      </c>
      <c r="D30" s="34">
        <v>80</v>
      </c>
      <c r="E30" s="34">
        <v>55</v>
      </c>
      <c r="F30" s="34" t="s">
        <v>78</v>
      </c>
      <c r="G30" s="34">
        <v>80</v>
      </c>
      <c r="H30" s="34">
        <v>80</v>
      </c>
      <c r="I30" s="37">
        <v>80</v>
      </c>
      <c r="J30" s="38">
        <f t="shared" si="0"/>
        <v>62.5</v>
      </c>
      <c r="Q30" s="43">
        <v>27</v>
      </c>
      <c r="R30" s="43" t="s">
        <v>102</v>
      </c>
      <c r="S30" s="43" t="s">
        <v>72</v>
      </c>
      <c r="T30" s="43">
        <v>80</v>
      </c>
      <c r="U30" s="43" t="s">
        <v>78</v>
      </c>
      <c r="V30" s="43">
        <v>87</v>
      </c>
      <c r="W30" s="43">
        <v>80</v>
      </c>
      <c r="X30" s="43">
        <v>80</v>
      </c>
      <c r="Y30" s="43">
        <v>80</v>
      </c>
      <c r="Z30" s="43">
        <v>67.83</v>
      </c>
    </row>
    <row r="31" spans="1:26" x14ac:dyDescent="0.35">
      <c r="A31" s="34">
        <v>30</v>
      </c>
      <c r="B31" s="34" t="s">
        <v>106</v>
      </c>
      <c r="C31" s="34"/>
      <c r="D31" s="34" t="s">
        <v>78</v>
      </c>
      <c r="E31" s="34">
        <v>66</v>
      </c>
      <c r="F31" s="34">
        <v>80</v>
      </c>
      <c r="G31" s="34">
        <v>80</v>
      </c>
      <c r="H31" s="34" t="s">
        <v>78</v>
      </c>
      <c r="I31" s="37">
        <v>80</v>
      </c>
      <c r="J31" s="38">
        <f t="shared" si="0"/>
        <v>51</v>
      </c>
      <c r="Q31" s="43">
        <v>28</v>
      </c>
      <c r="R31" s="43" t="s">
        <v>103</v>
      </c>
      <c r="S31" s="43"/>
      <c r="T31" s="43">
        <v>48</v>
      </c>
      <c r="U31" s="43">
        <v>80</v>
      </c>
      <c r="V31" s="43">
        <v>80</v>
      </c>
      <c r="W31" s="43">
        <v>89</v>
      </c>
      <c r="X31" s="43">
        <v>48</v>
      </c>
      <c r="Y31" s="43">
        <v>89</v>
      </c>
      <c r="Z31" s="43">
        <v>72.33</v>
      </c>
    </row>
    <row r="32" spans="1:26" x14ac:dyDescent="0.35">
      <c r="Q32" s="43">
        <v>29</v>
      </c>
      <c r="R32" s="43" t="s">
        <v>105</v>
      </c>
      <c r="S32" s="43" t="s">
        <v>72</v>
      </c>
      <c r="T32" s="43">
        <v>80</v>
      </c>
      <c r="U32" s="43">
        <v>55</v>
      </c>
      <c r="V32" s="43" t="s">
        <v>78</v>
      </c>
      <c r="W32" s="43">
        <v>80</v>
      </c>
      <c r="X32" s="43">
        <v>80</v>
      </c>
      <c r="Y32" s="43">
        <v>80</v>
      </c>
      <c r="Z32" s="43">
        <v>62.5</v>
      </c>
    </row>
    <row r="33" spans="17:26" x14ac:dyDescent="0.35">
      <c r="Q33" s="43">
        <v>30</v>
      </c>
      <c r="R33" s="43" t="s">
        <v>106</v>
      </c>
      <c r="S33" s="43"/>
      <c r="T33" s="43" t="s">
        <v>78</v>
      </c>
      <c r="U33" s="43">
        <v>66</v>
      </c>
      <c r="V33" s="43">
        <v>80</v>
      </c>
      <c r="W33" s="43">
        <v>80</v>
      </c>
      <c r="X33" s="43" t="s">
        <v>78</v>
      </c>
      <c r="Y33" s="43">
        <v>80</v>
      </c>
      <c r="Z33" s="43">
        <v>51</v>
      </c>
    </row>
  </sheetData>
  <conditionalFormatting sqref="A2:J31">
    <cfRule type="expression" dxfId="12" priority="1">
      <formula>$A2=$M$3</formula>
    </cfRule>
  </conditionalFormatting>
  <dataValidations count="1">
    <dataValidation type="list" allowBlank="1" showInputMessage="1" showErrorMessage="1" sqref="M3" xr:uid="{2F875B56-49EB-44FD-B54E-740640355CAF}">
      <formula1>$A$2:$A$31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2385-CC3C-45D5-85F9-21E072072CC8}">
  <dimension ref="A1:B8"/>
  <sheetViews>
    <sheetView workbookViewId="0">
      <selection activeCell="B26" sqref="B26"/>
    </sheetView>
  </sheetViews>
  <sheetFormatPr defaultRowHeight="14.5" x14ac:dyDescent="0.35"/>
  <cols>
    <col min="2" max="2" width="83.81640625" bestFit="1" customWidth="1"/>
  </cols>
  <sheetData>
    <row r="1" spans="1:2" x14ac:dyDescent="0.35">
      <c r="B1" s="6" t="s">
        <v>120</v>
      </c>
    </row>
    <row r="2" spans="1:2" x14ac:dyDescent="0.35">
      <c r="A2">
        <v>1</v>
      </c>
      <c r="B2" t="s">
        <v>121</v>
      </c>
    </row>
    <row r="3" spans="1:2" x14ac:dyDescent="0.35">
      <c r="A3">
        <v>2</v>
      </c>
      <c r="B3" t="s">
        <v>122</v>
      </c>
    </row>
    <row r="4" spans="1:2" x14ac:dyDescent="0.35">
      <c r="A4">
        <v>3</v>
      </c>
      <c r="B4" t="s">
        <v>123</v>
      </c>
    </row>
    <row r="5" spans="1:2" x14ac:dyDescent="0.35">
      <c r="A5">
        <v>4</v>
      </c>
      <c r="B5" t="s">
        <v>124</v>
      </c>
    </row>
    <row r="6" spans="1:2" x14ac:dyDescent="0.35">
      <c r="A6">
        <v>5</v>
      </c>
      <c r="B6" t="s">
        <v>125</v>
      </c>
    </row>
    <row r="7" spans="1:2" x14ac:dyDescent="0.35">
      <c r="A7">
        <v>6</v>
      </c>
      <c r="B7" t="s">
        <v>126</v>
      </c>
    </row>
    <row r="8" spans="1:2" x14ac:dyDescent="0.35">
      <c r="A8">
        <v>7</v>
      </c>
      <c r="B8"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78FD-ACB0-4EA1-A734-1D764C2F49BD}">
  <dimension ref="B2:G11"/>
  <sheetViews>
    <sheetView workbookViewId="0">
      <selection activeCell="G19" sqref="G19"/>
    </sheetView>
  </sheetViews>
  <sheetFormatPr defaultRowHeight="14.5" x14ac:dyDescent="0.35"/>
  <cols>
    <col min="7" max="7" width="26.54296875" bestFit="1" customWidth="1"/>
  </cols>
  <sheetData>
    <row r="2" spans="2:7" ht="15.5" x14ac:dyDescent="0.35">
      <c r="B2" s="46" t="s">
        <v>2</v>
      </c>
      <c r="C2" s="8" t="s">
        <v>128</v>
      </c>
      <c r="D2" s="46" t="s">
        <v>129</v>
      </c>
    </row>
    <row r="3" spans="2:7" ht="15.5" x14ac:dyDescent="0.35">
      <c r="B3" s="46"/>
      <c r="C3" s="8" t="s">
        <v>65</v>
      </c>
      <c r="D3" s="46"/>
    </row>
    <row r="4" spans="2:7" ht="15.5" x14ac:dyDescent="0.35">
      <c r="B4" s="12" t="s">
        <v>130</v>
      </c>
      <c r="C4" s="12">
        <v>45</v>
      </c>
      <c r="D4" s="10" t="str">
        <f>IF($C4&gt;35,"Pass","Fail")</f>
        <v>Pass</v>
      </c>
      <c r="E4" t="str">
        <f>IF($C4&gt;35,"Pass","Fail")</f>
        <v>Pass</v>
      </c>
      <c r="F4" t="str">
        <f>IF(C4&lt;35,"Fail","pass")</f>
        <v>pass</v>
      </c>
    </row>
    <row r="5" spans="2:7" ht="15.5" x14ac:dyDescent="0.35">
      <c r="B5" s="12" t="s">
        <v>131</v>
      </c>
      <c r="C5" s="12">
        <v>12</v>
      </c>
      <c r="D5" s="10" t="str">
        <f t="shared" ref="D5:E11" si="0">IF($C5&gt;35,"Pass","Fail")</f>
        <v>Fail</v>
      </c>
      <c r="E5" t="str">
        <f t="shared" si="0"/>
        <v>Fail</v>
      </c>
      <c r="F5" t="str">
        <f t="shared" ref="F5:F11" si="1">IF(C5&lt;35,"Fail","pass")</f>
        <v>Fail</v>
      </c>
    </row>
    <row r="6" spans="2:7" ht="15.5" x14ac:dyDescent="0.35">
      <c r="B6" s="12" t="s">
        <v>132</v>
      </c>
      <c r="C6" s="12">
        <v>5</v>
      </c>
      <c r="D6" s="10" t="str">
        <f t="shared" si="0"/>
        <v>Fail</v>
      </c>
      <c r="E6" t="str">
        <f t="shared" si="0"/>
        <v>Fail</v>
      </c>
      <c r="F6" t="str">
        <f t="shared" si="1"/>
        <v>Fail</v>
      </c>
    </row>
    <row r="7" spans="2:7" ht="15.5" x14ac:dyDescent="0.35">
      <c r="B7" s="12" t="s">
        <v>133</v>
      </c>
      <c r="C7" s="12">
        <v>50</v>
      </c>
      <c r="D7" s="10" t="str">
        <f t="shared" si="0"/>
        <v>Pass</v>
      </c>
      <c r="E7" t="str">
        <f t="shared" si="0"/>
        <v>Pass</v>
      </c>
      <c r="F7" t="str">
        <f t="shared" si="1"/>
        <v>pass</v>
      </c>
    </row>
    <row r="8" spans="2:7" ht="15.5" x14ac:dyDescent="0.35">
      <c r="B8" s="12" t="s">
        <v>134</v>
      </c>
      <c r="C8" s="12">
        <v>52</v>
      </c>
      <c r="D8" s="10" t="str">
        <f t="shared" si="0"/>
        <v>Pass</v>
      </c>
      <c r="E8" t="str">
        <f t="shared" si="0"/>
        <v>Pass</v>
      </c>
      <c r="F8" t="str">
        <f t="shared" si="1"/>
        <v>pass</v>
      </c>
    </row>
    <row r="9" spans="2:7" ht="15.5" x14ac:dyDescent="0.35">
      <c r="B9" s="12" t="s">
        <v>135</v>
      </c>
      <c r="C9" s="12">
        <v>32</v>
      </c>
      <c r="D9" s="10" t="str">
        <f t="shared" si="0"/>
        <v>Fail</v>
      </c>
      <c r="E9" t="str">
        <f t="shared" si="0"/>
        <v>Fail</v>
      </c>
      <c r="F9" t="str">
        <f t="shared" si="1"/>
        <v>Fail</v>
      </c>
    </row>
    <row r="10" spans="2:7" ht="15.5" x14ac:dyDescent="0.35">
      <c r="B10" s="12" t="s">
        <v>136</v>
      </c>
      <c r="C10" s="12">
        <v>19</v>
      </c>
      <c r="D10" s="10" t="str">
        <f t="shared" si="0"/>
        <v>Fail</v>
      </c>
      <c r="E10" t="str">
        <f t="shared" si="0"/>
        <v>Fail</v>
      </c>
      <c r="F10" t="str">
        <f t="shared" si="1"/>
        <v>Fail</v>
      </c>
    </row>
    <row r="11" spans="2:7" ht="18.5" x14ac:dyDescent="0.45">
      <c r="B11" s="12" t="s">
        <v>137</v>
      </c>
      <c r="C11" s="12">
        <v>25</v>
      </c>
      <c r="D11" s="10" t="str">
        <f t="shared" si="0"/>
        <v>Fail</v>
      </c>
      <c r="E11" t="str">
        <f t="shared" si="0"/>
        <v>Fail</v>
      </c>
      <c r="F11" t="str">
        <f t="shared" si="1"/>
        <v>Fail</v>
      </c>
      <c r="G11" s="15" t="s">
        <v>138</v>
      </c>
    </row>
  </sheetData>
  <mergeCells count="2">
    <mergeCell ref="B2:B3"/>
    <mergeCell ref="D2: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4DEB-8718-45D9-88F7-BD1833000AA9}">
  <dimension ref="B2:J20"/>
  <sheetViews>
    <sheetView zoomScale="117" zoomScaleNormal="117" workbookViewId="0">
      <selection activeCell="H20" sqref="H20"/>
    </sheetView>
  </sheetViews>
  <sheetFormatPr defaultRowHeight="14.5" x14ac:dyDescent="0.35"/>
  <cols>
    <col min="4" max="4" width="19.81640625" customWidth="1"/>
    <col min="7" max="7" width="10" bestFit="1" customWidth="1"/>
    <col min="8" max="8" width="67.81640625" bestFit="1" customWidth="1"/>
  </cols>
  <sheetData>
    <row r="2" spans="2:10" ht="14.5" customHeight="1" x14ac:dyDescent="0.35">
      <c r="B2" s="9" t="s">
        <v>139</v>
      </c>
      <c r="C2" s="9" t="s">
        <v>140</v>
      </c>
      <c r="D2" s="9" t="s">
        <v>141</v>
      </c>
      <c r="E2" s="9" t="s">
        <v>142</v>
      </c>
      <c r="H2" s="6" t="s">
        <v>143</v>
      </c>
    </row>
    <row r="3" spans="2:10" ht="14.5" customHeight="1" x14ac:dyDescent="0.35">
      <c r="B3" s="13">
        <v>90</v>
      </c>
      <c r="C3" s="13">
        <v>60</v>
      </c>
      <c r="D3" s="13">
        <v>35</v>
      </c>
      <c r="E3" s="13" t="s">
        <v>144</v>
      </c>
      <c r="H3" s="6" t="s">
        <v>145</v>
      </c>
    </row>
    <row r="4" spans="2:10" x14ac:dyDescent="0.35">
      <c r="J4" s="13"/>
    </row>
    <row r="5" spans="2:10" ht="15.5" x14ac:dyDescent="0.35">
      <c r="B5" s="47" t="s">
        <v>2</v>
      </c>
      <c r="C5" s="11" t="s">
        <v>128</v>
      </c>
      <c r="D5" s="47" t="s">
        <v>146</v>
      </c>
    </row>
    <row r="6" spans="2:10" ht="15.5" x14ac:dyDescent="0.35">
      <c r="B6" s="47"/>
      <c r="C6" s="11" t="s">
        <v>65</v>
      </c>
      <c r="D6" s="47"/>
    </row>
    <row r="7" spans="2:10" ht="15.5" x14ac:dyDescent="0.35">
      <c r="B7" s="12" t="s">
        <v>130</v>
      </c>
      <c r="C7" s="12">
        <v>45</v>
      </c>
      <c r="D7" s="13" t="str" cm="1">
        <f t="array" ref="D7">_xlfn.IFS($C7&gt;90,"A",$C7&gt;60,"B",$C7&gt;35,"C",$C7&lt;35,"Fail")</f>
        <v>C</v>
      </c>
      <c r="F7" t="str" cm="1">
        <f t="array" ref="F7">_xlfn.IFS(C7&gt;=90,"A",C7&gt;=60,"B",C7&lt;35,"Fail",C7&gt;35,"Pass")</f>
        <v>Pass</v>
      </c>
    </row>
    <row r="8" spans="2:10" ht="15.5" x14ac:dyDescent="0.35">
      <c r="B8" s="12" t="s">
        <v>131</v>
      </c>
      <c r="C8" s="12">
        <v>12</v>
      </c>
      <c r="D8" s="13" t="str" cm="1">
        <f t="array" ref="D8">_xlfn.IFS($C8&gt;90,"A",$C8&gt;60,"B",$C8&gt;35,"C",$C8&lt;35,"Fail")</f>
        <v>Fail</v>
      </c>
      <c r="E8" t="str" cm="1">
        <f t="array" ref="E8">_xlfn.IFS(C8&gt;90,"A",C8&gt;60,"B",C8&gt;35,"C",C8&lt;35,"Fail")</f>
        <v>Fail</v>
      </c>
      <c r="F8" t="str" cm="1">
        <f t="array" ref="F8">_xlfn.IFS(C8&gt;=90,"A",C8&gt;=60,"B",C8&lt;35,"Fail",C8&gt;35,"Pass")</f>
        <v>Fail</v>
      </c>
    </row>
    <row r="9" spans="2:10" ht="15.5" x14ac:dyDescent="0.35">
      <c r="B9" s="12" t="s">
        <v>132</v>
      </c>
      <c r="C9" s="12">
        <v>95</v>
      </c>
      <c r="D9" s="13" t="str" cm="1">
        <f t="array" ref="D9">_xlfn.IFS($C9&gt;90,"A",$C9&gt;60,"B",$C9&gt;35,"C",$C9&lt;35,"Fail")</f>
        <v>A</v>
      </c>
      <c r="F9" t="str" cm="1">
        <f t="array" ref="F9">_xlfn.IFS(C9&gt;=90,"A",C9&gt;=60,"B",C9&lt;35,"Fail",C9&gt;35,"Pass")</f>
        <v>A</v>
      </c>
    </row>
    <row r="10" spans="2:10" ht="15.5" x14ac:dyDescent="0.35">
      <c r="B10" s="12" t="s">
        <v>133</v>
      </c>
      <c r="C10" s="12">
        <v>70</v>
      </c>
      <c r="D10" s="13" t="str" cm="1">
        <f t="array" ref="D10">_xlfn.IFS($C10&gt;90,"A",$C10&gt;60,"B",$C10&gt;35,"C",$C10&lt;35,"Fail")</f>
        <v>B</v>
      </c>
      <c r="F10" t="str" cm="1">
        <f t="array" ref="F10">_xlfn.IFS(C10&gt;=90,"A",C10&gt;=60,"B",C10&lt;35,"Fail",C10&gt;35,"Pass")</f>
        <v>B</v>
      </c>
    </row>
    <row r="11" spans="2:10" ht="15.5" x14ac:dyDescent="0.35">
      <c r="B11" s="12" t="s">
        <v>134</v>
      </c>
      <c r="C11" s="12">
        <v>55</v>
      </c>
      <c r="D11" s="13" t="str" cm="1">
        <f t="array" ref="D11">_xlfn.IFS($C11&gt;90,"A",$C11&gt;60,"B",$C11&gt;35,"C",$C11&lt;35,"Fail")</f>
        <v>C</v>
      </c>
      <c r="F11" t="str" cm="1">
        <f t="array" ref="F11">_xlfn.IFS(C11&gt;=90,"A",C11&gt;=60,"B",C11&lt;35,"Fail",C11&gt;35,"Pass")</f>
        <v>Pass</v>
      </c>
    </row>
    <row r="12" spans="2:10" ht="15.5" x14ac:dyDescent="0.35">
      <c r="B12" s="12" t="s">
        <v>135</v>
      </c>
      <c r="C12" s="12">
        <v>32</v>
      </c>
      <c r="D12" s="13" t="str" cm="1">
        <f t="array" ref="D12">_xlfn.IFS($C12&gt;90,"A",$C12&gt;60,"B",$C12&gt;35,"C",$C12&lt;35,"Fail")</f>
        <v>Fail</v>
      </c>
      <c r="F12" t="str" cm="1">
        <f t="array" ref="F12">_xlfn.IFS(C12&gt;=90,"A",C12&gt;=60,"B",C12&lt;35,"Fail",C12&gt;35,"Pass")</f>
        <v>Fail</v>
      </c>
    </row>
    <row r="13" spans="2:10" ht="16" x14ac:dyDescent="0.4">
      <c r="B13" s="12" t="s">
        <v>136</v>
      </c>
      <c r="C13" s="12">
        <v>19</v>
      </c>
      <c r="D13" s="13" t="str" cm="1">
        <f t="array" ref="D13">_xlfn.IFS($C13&gt;90,"A",$C13&gt;60,"B",$C13&gt;35,"C",$C13&lt;35,"Fail")</f>
        <v>Fail</v>
      </c>
      <c r="F13" t="str" cm="1">
        <f t="array" ref="F13">_xlfn.IFS(C13&gt;=90,"A",C13&gt;=60,"B",C13&lt;35,"Fail",C13&gt;35,"Pass")</f>
        <v>Fail</v>
      </c>
      <c r="H13" s="14" t="s">
        <v>147</v>
      </c>
    </row>
    <row r="14" spans="2:10" ht="16" x14ac:dyDescent="0.4">
      <c r="B14" s="12" t="s">
        <v>137</v>
      </c>
      <c r="C14" s="12">
        <v>25</v>
      </c>
      <c r="D14" s="13" t="str" cm="1">
        <f t="array" ref="D14">_xlfn.IFS($C14&gt;90,"A",$C14&gt;60,"B",$C14&gt;35,"C",$C14&lt;35,"Fail")</f>
        <v>Fail</v>
      </c>
      <c r="F14" t="str" cm="1">
        <f t="array" ref="F14">_xlfn.IFS(C14&gt;=90,"A",C14&gt;=60,"B",C14&lt;35,"Fail",C14&gt;35,"Pass")</f>
        <v>Fail</v>
      </c>
      <c r="H14" s="14" t="s">
        <v>148</v>
      </c>
    </row>
    <row r="16" spans="2:10" ht="16" x14ac:dyDescent="0.4">
      <c r="G16" s="22" t="s">
        <v>149</v>
      </c>
      <c r="H16" s="24" t="s">
        <v>150</v>
      </c>
    </row>
    <row r="20" spans="8:8" x14ac:dyDescent="0.35">
      <c r="H20" t="s">
        <v>76</v>
      </c>
    </row>
  </sheetData>
  <mergeCells count="2">
    <mergeCell ref="B5:B6"/>
    <mergeCell ref="D5: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58EBC-F9AC-4923-BB52-B787024DD54A}">
  <dimension ref="B1:Q31"/>
  <sheetViews>
    <sheetView zoomScale="107" zoomScaleNormal="107" workbookViewId="0">
      <selection activeCell="Q16" sqref="Q16"/>
    </sheetView>
  </sheetViews>
  <sheetFormatPr defaultRowHeight="14.5" x14ac:dyDescent="0.35"/>
  <cols>
    <col min="2" max="2" width="9.81640625" bestFit="1" customWidth="1"/>
    <col min="9" max="9" width="23.1796875" bestFit="1" customWidth="1"/>
  </cols>
  <sheetData>
    <row r="1" spans="2:17" x14ac:dyDescent="0.35">
      <c r="B1" s="19" t="s">
        <v>151</v>
      </c>
      <c r="C1" s="19" t="s">
        <v>4</v>
      </c>
      <c r="D1" s="19" t="s">
        <v>7</v>
      </c>
      <c r="I1" s="6" t="s">
        <v>152</v>
      </c>
    </row>
    <row r="2" spans="2:17" ht="15.5" x14ac:dyDescent="0.35">
      <c r="B2" s="18">
        <v>10507</v>
      </c>
      <c r="C2" s="18" t="s">
        <v>11</v>
      </c>
      <c r="D2" s="20">
        <v>36400</v>
      </c>
      <c r="G2" s="18" t="s">
        <v>11</v>
      </c>
      <c r="H2" s="10">
        <f>COUNTIF($C2:$C31,G2)</f>
        <v>8</v>
      </c>
      <c r="I2">
        <f>COUNTIF($C2:$C31,G2)</f>
        <v>8</v>
      </c>
      <c r="J2">
        <f>COUNTIF($C2:$C31,$G2)</f>
        <v>8</v>
      </c>
      <c r="K2">
        <f>COUNTIF(C2:C31,G2)</f>
        <v>8</v>
      </c>
      <c r="L2" t="e" vm="1">
        <f>_xleta.COUNT</f>
        <v>#VALUE!</v>
      </c>
    </row>
    <row r="3" spans="2:17" ht="15.5" x14ac:dyDescent="0.35">
      <c r="B3" s="18">
        <v>10534</v>
      </c>
      <c r="C3" s="18" t="s">
        <v>15</v>
      </c>
      <c r="D3" s="20">
        <v>33440</v>
      </c>
      <c r="G3" s="18" t="s">
        <v>15</v>
      </c>
      <c r="H3" s="10">
        <f t="shared" ref="H3:H7" si="0">COUNTIF($C3:$C32,G3)</f>
        <v>5</v>
      </c>
      <c r="I3">
        <f>COUNTIF($C2:$C31,$G3)</f>
        <v>5</v>
      </c>
      <c r="J3">
        <f>COUNTIF($C3:$C32,$G3)</f>
        <v>5</v>
      </c>
      <c r="K3">
        <f>COUNTIF(C3:C32,G3)</f>
        <v>5</v>
      </c>
    </row>
    <row r="4" spans="2:17" ht="15.5" x14ac:dyDescent="0.35">
      <c r="B4" s="18">
        <v>10537</v>
      </c>
      <c r="C4" s="18" t="s">
        <v>11</v>
      </c>
      <c r="D4" s="20">
        <v>26752</v>
      </c>
      <c r="G4" s="18" t="s">
        <v>23</v>
      </c>
      <c r="H4" s="10">
        <f t="shared" si="0"/>
        <v>1</v>
      </c>
      <c r="I4">
        <f t="shared" ref="I4:I7" si="1">COUNTIF($C3:$C32,$G4)</f>
        <v>1</v>
      </c>
      <c r="J4">
        <f t="shared" ref="J4:J5" si="2">COUNTIF($C4:$C33,$G4)</f>
        <v>1</v>
      </c>
    </row>
    <row r="5" spans="2:17" ht="15.5" x14ac:dyDescent="0.35">
      <c r="B5" s="18">
        <v>10538</v>
      </c>
      <c r="C5" s="18" t="s">
        <v>11</v>
      </c>
      <c r="D5" s="20">
        <v>26752</v>
      </c>
      <c r="G5" s="18" t="s">
        <v>16</v>
      </c>
      <c r="H5" s="10">
        <f t="shared" si="0"/>
        <v>8</v>
      </c>
      <c r="I5">
        <f t="shared" si="1"/>
        <v>8</v>
      </c>
      <c r="J5">
        <f t="shared" si="2"/>
        <v>8</v>
      </c>
    </row>
    <row r="6" spans="2:17" ht="15.5" x14ac:dyDescent="0.35">
      <c r="B6" s="18">
        <v>10542</v>
      </c>
      <c r="C6" s="18" t="s">
        <v>15</v>
      </c>
      <c r="D6" s="20">
        <v>33440</v>
      </c>
      <c r="G6" s="18" t="s">
        <v>26</v>
      </c>
      <c r="H6" s="10">
        <f t="shared" si="0"/>
        <v>4</v>
      </c>
      <c r="I6">
        <f t="shared" si="1"/>
        <v>4</v>
      </c>
    </row>
    <row r="7" spans="2:17" ht="15.5" x14ac:dyDescent="0.35">
      <c r="B7" s="18">
        <v>105406</v>
      </c>
      <c r="C7" s="18" t="s">
        <v>23</v>
      </c>
      <c r="D7" s="20">
        <v>20900</v>
      </c>
      <c r="G7" s="18" t="s">
        <v>29</v>
      </c>
      <c r="H7" s="10">
        <f t="shared" si="0"/>
        <v>4</v>
      </c>
      <c r="I7">
        <f t="shared" si="1"/>
        <v>4</v>
      </c>
    </row>
    <row r="8" spans="2:17" ht="16" x14ac:dyDescent="0.4">
      <c r="B8" s="18">
        <v>10485</v>
      </c>
      <c r="C8" s="18" t="s">
        <v>16</v>
      </c>
      <c r="D8" s="20">
        <v>26240</v>
      </c>
      <c r="I8" s="22" t="s">
        <v>153</v>
      </c>
    </row>
    <row r="9" spans="2:17" ht="16" x14ac:dyDescent="0.4">
      <c r="B9" s="18">
        <v>10453</v>
      </c>
      <c r="C9" s="18" t="s">
        <v>26</v>
      </c>
      <c r="D9" s="20">
        <v>20000</v>
      </c>
      <c r="I9" s="22" t="s">
        <v>154</v>
      </c>
    </row>
    <row r="10" spans="2:17" ht="15.5" x14ac:dyDescent="0.35">
      <c r="B10" s="18">
        <v>10477</v>
      </c>
      <c r="C10" s="18" t="s">
        <v>11</v>
      </c>
      <c r="D10" s="20">
        <v>12000</v>
      </c>
    </row>
    <row r="11" spans="2:17" ht="15.5" x14ac:dyDescent="0.35">
      <c r="B11" s="18">
        <v>10486</v>
      </c>
      <c r="C11" s="18" t="s">
        <v>29</v>
      </c>
      <c r="D11" s="20">
        <v>12000</v>
      </c>
    </row>
    <row r="12" spans="2:17" ht="15.5" x14ac:dyDescent="0.35">
      <c r="B12" s="18">
        <v>10490</v>
      </c>
      <c r="C12" s="18" t="s">
        <v>16</v>
      </c>
      <c r="D12" s="20">
        <v>12000</v>
      </c>
    </row>
    <row r="13" spans="2:17" ht="15.5" x14ac:dyDescent="0.35">
      <c r="B13" s="18">
        <v>10502</v>
      </c>
      <c r="C13" s="18" t="s">
        <v>26</v>
      </c>
      <c r="D13" s="20">
        <v>25600</v>
      </c>
    </row>
    <row r="14" spans="2:17" ht="15.5" x14ac:dyDescent="0.35">
      <c r="B14" s="18">
        <v>10523</v>
      </c>
      <c r="C14" s="18" t="s">
        <v>16</v>
      </c>
      <c r="D14" s="20">
        <v>32000</v>
      </c>
    </row>
    <row r="15" spans="2:17" ht="15.5" x14ac:dyDescent="0.35">
      <c r="B15" s="18">
        <v>10525</v>
      </c>
      <c r="C15" s="18" t="s">
        <v>26</v>
      </c>
      <c r="D15" s="20">
        <v>25536</v>
      </c>
      <c r="I15" s="10">
        <v>1</v>
      </c>
      <c r="J15" s="10">
        <v>2</v>
      </c>
      <c r="K15" s="10">
        <v>3</v>
      </c>
      <c r="L15" s="10"/>
      <c r="M15" s="10">
        <v>4</v>
      </c>
      <c r="N15" s="10"/>
      <c r="O15">
        <f>COUNT(I15,J15,K15,L15,M15,N15)</f>
        <v>4</v>
      </c>
      <c r="P15">
        <f>COUNTA(I15:N15)</f>
        <v>4</v>
      </c>
      <c r="Q15">
        <f>COUNTBLANK(I15:N15)</f>
        <v>2</v>
      </c>
    </row>
    <row r="16" spans="2:17" ht="15.5" x14ac:dyDescent="0.35">
      <c r="B16" s="18">
        <v>10535</v>
      </c>
      <c r="C16" s="18" t="s">
        <v>15</v>
      </c>
      <c r="D16" s="20">
        <v>31840</v>
      </c>
    </row>
    <row r="17" spans="2:4" ht="15.5" x14ac:dyDescent="0.35">
      <c r="B17" s="18">
        <v>10461</v>
      </c>
      <c r="C17" s="18" t="s">
        <v>16</v>
      </c>
      <c r="D17" s="20">
        <v>30400</v>
      </c>
    </row>
    <row r="18" spans="2:4" ht="15.5" x14ac:dyDescent="0.35">
      <c r="B18" s="18">
        <v>10506</v>
      </c>
      <c r="C18" s="18" t="s">
        <v>11</v>
      </c>
      <c r="D18" s="20">
        <v>11400</v>
      </c>
    </row>
    <row r="19" spans="2:4" ht="15.5" x14ac:dyDescent="0.35">
      <c r="B19" s="18">
        <v>10531</v>
      </c>
      <c r="C19" s="18" t="s">
        <v>15</v>
      </c>
      <c r="D19" s="20">
        <v>30400</v>
      </c>
    </row>
    <row r="20" spans="2:4" ht="15.5" x14ac:dyDescent="0.35">
      <c r="B20" s="18">
        <v>10536</v>
      </c>
      <c r="C20" s="18" t="s">
        <v>11</v>
      </c>
      <c r="D20" s="20">
        <v>11400</v>
      </c>
    </row>
    <row r="21" spans="2:4" ht="15.5" x14ac:dyDescent="0.35">
      <c r="B21" s="18">
        <v>10541</v>
      </c>
      <c r="C21" s="18" t="s">
        <v>15</v>
      </c>
      <c r="D21" s="20">
        <v>24320</v>
      </c>
    </row>
    <row r="22" spans="2:4" ht="15.5" x14ac:dyDescent="0.35">
      <c r="B22" s="18">
        <v>10546</v>
      </c>
      <c r="C22" s="18" t="s">
        <v>16</v>
      </c>
      <c r="D22" s="20">
        <v>24320</v>
      </c>
    </row>
    <row r="23" spans="2:4" ht="15.5" x14ac:dyDescent="0.35">
      <c r="B23" s="18">
        <v>10501</v>
      </c>
      <c r="C23" s="18" t="s">
        <v>26</v>
      </c>
      <c r="D23" s="20">
        <v>24320</v>
      </c>
    </row>
    <row r="24" spans="2:4" ht="15.5" x14ac:dyDescent="0.35">
      <c r="B24" s="18">
        <v>10456</v>
      </c>
      <c r="C24" s="18" t="s">
        <v>29</v>
      </c>
      <c r="D24" s="20">
        <v>24000</v>
      </c>
    </row>
    <row r="25" spans="2:4" ht="15.5" x14ac:dyDescent="0.35">
      <c r="B25" s="18">
        <v>10457</v>
      </c>
      <c r="C25" s="18" t="s">
        <v>29</v>
      </c>
      <c r="D25" s="20">
        <v>30000</v>
      </c>
    </row>
    <row r="26" spans="2:4" ht="15.5" x14ac:dyDescent="0.35">
      <c r="B26" s="18">
        <v>10463</v>
      </c>
      <c r="C26" s="18" t="s">
        <v>16</v>
      </c>
      <c r="D26" s="20">
        <v>11250</v>
      </c>
    </row>
    <row r="27" spans="2:4" ht="15.5" x14ac:dyDescent="0.35">
      <c r="B27" s="18">
        <v>10468</v>
      </c>
      <c r="C27" s="18" t="s">
        <v>11</v>
      </c>
      <c r="D27" s="20">
        <v>11250</v>
      </c>
    </row>
    <row r="28" spans="2:4" ht="15.5" x14ac:dyDescent="0.35">
      <c r="B28" s="18">
        <v>10470</v>
      </c>
      <c r="C28" s="18" t="s">
        <v>11</v>
      </c>
      <c r="D28" s="20">
        <v>18750</v>
      </c>
    </row>
    <row r="29" spans="2:4" ht="15.5" x14ac:dyDescent="0.35">
      <c r="B29" s="18">
        <v>10473</v>
      </c>
      <c r="C29" s="18" t="s">
        <v>29</v>
      </c>
      <c r="D29" s="20">
        <v>18750</v>
      </c>
    </row>
    <row r="30" spans="2:4" ht="15.5" x14ac:dyDescent="0.35">
      <c r="B30" s="18">
        <v>10478</v>
      </c>
      <c r="C30" s="18" t="s">
        <v>16</v>
      </c>
      <c r="D30" s="20">
        <v>18750</v>
      </c>
    </row>
    <row r="31" spans="2:4" ht="15.5" x14ac:dyDescent="0.35">
      <c r="B31" s="18">
        <v>10478</v>
      </c>
      <c r="C31" s="18" t="s">
        <v>16</v>
      </c>
      <c r="D31" s="20">
        <v>18750</v>
      </c>
    </row>
  </sheetData>
  <conditionalFormatting sqref="B2:D31">
    <cfRule type="expression" dxfId="11" priority="25">
      <formula>#REF!=#REF!</formula>
    </cfRule>
    <cfRule type="expression" dxfId="10" priority="26">
      <formula>$E2=#REF!</formula>
    </cfRule>
    <cfRule type="expression" dxfId="9" priority="27">
      <formula>#REF!=#REF!</formula>
    </cfRule>
    <cfRule type="expression" dxfId="8" priority="28">
      <formula>#REF!=#REF!</formula>
    </cfRule>
  </conditionalFormatting>
  <conditionalFormatting sqref="C2:C31">
    <cfRule type="dataBar" priority="24">
      <dataBar>
        <cfvo type="min"/>
        <cfvo type="max"/>
        <color rgb="FFFFB628"/>
      </dataBar>
      <extLst>
        <ext xmlns:x14="http://schemas.microsoft.com/office/spreadsheetml/2009/9/main" uri="{B025F937-C7B1-47D3-B67F-A62EFF666E3E}">
          <x14:id>{684A1FB7-8100-4251-83E7-EA767E336F5F}</x14:id>
        </ext>
      </extLst>
    </cfRule>
  </conditionalFormatting>
  <conditionalFormatting sqref="G2:G7">
    <cfRule type="dataBar" priority="1">
      <dataBar>
        <cfvo type="min"/>
        <cfvo type="max"/>
        <color rgb="FFFFB628"/>
      </dataBar>
      <extLst>
        <ext xmlns:x14="http://schemas.microsoft.com/office/spreadsheetml/2009/9/main" uri="{B025F937-C7B1-47D3-B67F-A62EFF666E3E}">
          <x14:id>{E2C34087-298A-443A-BD36-1ADB0E20DE45}</x14:id>
        </ext>
      </extLst>
    </cfRule>
    <cfRule type="expression" dxfId="7" priority="2">
      <formula>#REF!=#REF!</formula>
    </cfRule>
    <cfRule type="expression" dxfId="6" priority="3">
      <formula>$E2=#REF!</formula>
    </cfRule>
    <cfRule type="expression" dxfId="5" priority="4">
      <formula>#REF!=#REF!</formula>
    </cfRule>
    <cfRule type="expression" dxfId="4" priority="5">
      <formula>#REF!=#REF!</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84A1FB7-8100-4251-83E7-EA767E336F5F}">
            <x14:dataBar minLength="0" maxLength="100" border="1" negativeBarBorderColorSameAsPositive="0">
              <x14:cfvo type="autoMin"/>
              <x14:cfvo type="autoMax"/>
              <x14:borderColor rgb="FFFFB628"/>
              <x14:negativeFillColor rgb="FFFF0000"/>
              <x14:negativeBorderColor rgb="FFFF0000"/>
              <x14:axisColor rgb="FF000000"/>
            </x14:dataBar>
          </x14:cfRule>
          <xm:sqref>C2:C31</xm:sqref>
        </x14:conditionalFormatting>
        <x14:conditionalFormatting xmlns:xm="http://schemas.microsoft.com/office/excel/2006/main">
          <x14:cfRule type="dataBar" id="{E2C34087-298A-443A-BD36-1ADB0E20DE45}">
            <x14:dataBar minLength="0" maxLength="100" border="1" negativeBarBorderColorSameAsPositive="0">
              <x14:cfvo type="autoMin"/>
              <x14:cfvo type="autoMax"/>
              <x14:borderColor rgb="FFFFB628"/>
              <x14:negativeFillColor rgb="FFFF0000"/>
              <x14:negativeBorderColor rgb="FFFF0000"/>
              <x14:axisColor rgb="FF000000"/>
            </x14:dataBar>
          </x14:cfRule>
          <xm:sqref>G2:G7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C9CD-045B-4511-9F8C-84AC04AF8E53}">
  <dimension ref="D2:Q17"/>
  <sheetViews>
    <sheetView topLeftCell="C1" workbookViewId="0">
      <selection activeCell="C10" sqref="C10"/>
    </sheetView>
  </sheetViews>
  <sheetFormatPr defaultRowHeight="14.5" x14ac:dyDescent="0.35"/>
  <cols>
    <col min="7" max="7" width="12.7265625" bestFit="1" customWidth="1"/>
    <col min="9" max="9" width="13.26953125" bestFit="1" customWidth="1"/>
    <col min="10" max="10" width="6.54296875" bestFit="1" customWidth="1"/>
    <col min="11" max="11" width="13.26953125" bestFit="1" customWidth="1"/>
    <col min="12" max="12" width="8.1796875" bestFit="1" customWidth="1"/>
    <col min="14" max="14" width="12.7265625" bestFit="1" customWidth="1"/>
  </cols>
  <sheetData>
    <row r="2" spans="4:17" x14ac:dyDescent="0.35">
      <c r="D2" s="10" t="e" vm="1">
        <f>_xleta.COUNT</f>
        <v>#VALUE!</v>
      </c>
      <c r="E2" s="10" t="s">
        <v>155</v>
      </c>
      <c r="F2" s="10" t="s">
        <v>156</v>
      </c>
      <c r="G2" s="10" t="s">
        <v>157</v>
      </c>
      <c r="H2" s="10" t="s">
        <v>158</v>
      </c>
      <c r="I2" s="10"/>
      <c r="J2" s="10" t="s">
        <v>159</v>
      </c>
      <c r="K2" s="10" t="s">
        <v>160</v>
      </c>
      <c r="L2" s="10" t="s">
        <v>161</v>
      </c>
      <c r="M2" s="29" t="s">
        <v>162</v>
      </c>
      <c r="N2" s="29" t="s">
        <v>163</v>
      </c>
      <c r="O2" s="29" t="s">
        <v>164</v>
      </c>
    </row>
    <row r="3" spans="4:17" x14ac:dyDescent="0.35">
      <c r="D3" s="10" t="s">
        <v>165</v>
      </c>
      <c r="E3" s="10" t="s">
        <v>166</v>
      </c>
      <c r="F3" s="10" t="s">
        <v>162</v>
      </c>
      <c r="G3" s="10" t="s">
        <v>167</v>
      </c>
      <c r="H3" s="10" t="s">
        <v>162</v>
      </c>
      <c r="I3" s="10" t="s">
        <v>162</v>
      </c>
      <c r="J3" s="10" t="s">
        <v>164</v>
      </c>
      <c r="K3" s="10" t="s">
        <v>167</v>
      </c>
      <c r="L3" s="10" t="s">
        <v>166</v>
      </c>
      <c r="M3">
        <f>COUNTIF(E3:L3,M2)</f>
        <v>3</v>
      </c>
      <c r="N3">
        <f>COUNTIF($E3:$L3,"Present-online")</f>
        <v>2</v>
      </c>
      <c r="P3" s="30" t="s">
        <v>168</v>
      </c>
      <c r="Q3" s="30"/>
    </row>
    <row r="4" spans="4:17" x14ac:dyDescent="0.35">
      <c r="D4" s="10" t="s">
        <v>169</v>
      </c>
      <c r="E4" s="10" t="s">
        <v>166</v>
      </c>
      <c r="F4" s="10" t="s">
        <v>162</v>
      </c>
      <c r="G4" s="10" t="s">
        <v>167</v>
      </c>
      <c r="H4" s="10" t="s">
        <v>162</v>
      </c>
      <c r="I4" s="10" t="s">
        <v>167</v>
      </c>
      <c r="J4" s="10" t="s">
        <v>162</v>
      </c>
      <c r="K4" s="10" t="s">
        <v>162</v>
      </c>
      <c r="L4" s="10" t="s">
        <v>166</v>
      </c>
      <c r="M4">
        <f>COUNTIF($E4:$L4,$M$2)</f>
        <v>4</v>
      </c>
      <c r="N4">
        <f t="shared" ref="N4:N6" si="0">COUNTIF($E4:$L4,"Present-online")</f>
        <v>2</v>
      </c>
      <c r="P4" s="30">
        <f t="shared" ref="P4:P6" si="1">COUNTIF(E4:L4,"Present")+COUNTIF(E4:L4,"Present-online")/(COUNTIF(E4:L4,"Present")+COUNTIF(E4:L4,"Present-online")+COUNTIF(E4:L4,"Absent"))*100</f>
        <v>37.333333333333329</v>
      </c>
    </row>
    <row r="5" spans="4:17" x14ac:dyDescent="0.35">
      <c r="D5" s="10" t="s">
        <v>170</v>
      </c>
      <c r="E5" s="10" t="s">
        <v>166</v>
      </c>
      <c r="F5" s="10" t="s">
        <v>162</v>
      </c>
      <c r="G5" s="10" t="s">
        <v>162</v>
      </c>
      <c r="H5" s="10" t="s">
        <v>164</v>
      </c>
      <c r="I5" s="10" t="s">
        <v>164</v>
      </c>
      <c r="J5" s="10" t="s">
        <v>162</v>
      </c>
      <c r="K5" s="10" t="s">
        <v>164</v>
      </c>
      <c r="L5" s="10" t="s">
        <v>166</v>
      </c>
      <c r="M5">
        <f t="shared" ref="M5:M6" si="2">COUNTIF($E5:$L5,$M$2)</f>
        <v>3</v>
      </c>
      <c r="N5">
        <f t="shared" si="0"/>
        <v>0</v>
      </c>
      <c r="P5" s="30">
        <f t="shared" si="1"/>
        <v>3</v>
      </c>
    </row>
    <row r="6" spans="4:17" x14ac:dyDescent="0.35">
      <c r="D6" s="10" t="s">
        <v>171</v>
      </c>
      <c r="E6" s="10" t="s">
        <v>166</v>
      </c>
      <c r="F6" s="10" t="s">
        <v>164</v>
      </c>
      <c r="G6" s="10" t="s">
        <v>164</v>
      </c>
      <c r="H6" s="10" t="s">
        <v>164</v>
      </c>
      <c r="I6" s="10" t="s">
        <v>162</v>
      </c>
      <c r="J6" s="10" t="s">
        <v>162</v>
      </c>
      <c r="K6" s="10" t="s">
        <v>162</v>
      </c>
      <c r="L6" s="10" t="s">
        <v>166</v>
      </c>
      <c r="M6">
        <f t="shared" si="2"/>
        <v>3</v>
      </c>
      <c r="N6">
        <f t="shared" si="0"/>
        <v>0</v>
      </c>
      <c r="P6" s="30">
        <f t="shared" si="1"/>
        <v>3</v>
      </c>
    </row>
    <row r="17" spans="11:11" x14ac:dyDescent="0.35">
      <c r="K17" t="e" vm="1">
        <f>_xleta.COUNT</f>
        <v>#VALUE!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43752-ED76-48CE-94A9-941446A5513F}">
  <dimension ref="A1:P31"/>
  <sheetViews>
    <sheetView workbookViewId="0">
      <selection activeCell="H17" sqref="H17"/>
    </sheetView>
  </sheetViews>
  <sheetFormatPr defaultRowHeight="14.5" x14ac:dyDescent="0.35"/>
  <cols>
    <col min="8" max="8" width="33.81640625" bestFit="1" customWidth="1"/>
  </cols>
  <sheetData>
    <row r="1" spans="1:16" ht="33.5" x14ac:dyDescent="0.35">
      <c r="A1" s="17" t="s">
        <v>4</v>
      </c>
      <c r="B1" s="17" t="s">
        <v>7</v>
      </c>
      <c r="H1" s="6" t="s">
        <v>172</v>
      </c>
    </row>
    <row r="2" spans="1:16" ht="15.5" x14ac:dyDescent="0.35">
      <c r="A2" s="18" t="s">
        <v>11</v>
      </c>
      <c r="B2" s="20">
        <v>36400</v>
      </c>
      <c r="E2" s="18" t="s">
        <v>11</v>
      </c>
      <c r="F2" s="10">
        <f>SUMIF($A2:$A31,E2,$B2:$B31)</f>
        <v>154704</v>
      </c>
      <c r="G2">
        <f>SUMIF($A2:$A31,E2,$B2:$B31)</f>
        <v>154704</v>
      </c>
      <c r="K2" s="18" t="s">
        <v>11</v>
      </c>
      <c r="L2">
        <f>SUMIF($A2:$A31,$K2,$B2:$B31)</f>
        <v>154704</v>
      </c>
      <c r="O2" s="18" t="s">
        <v>11</v>
      </c>
      <c r="P2">
        <f>SUMIF(A2:A31,O2,B2:B31)</f>
        <v>154704</v>
      </c>
    </row>
    <row r="3" spans="1:16" ht="15.5" x14ac:dyDescent="0.35">
      <c r="A3" s="18" t="s">
        <v>15</v>
      </c>
      <c r="B3" s="20">
        <v>33440</v>
      </c>
      <c r="E3" s="18" t="s">
        <v>15</v>
      </c>
      <c r="F3" s="10">
        <f t="shared" ref="F3:F7" si="0">SUMIF($A3:$A32,E3,$B3:$B32)</f>
        <v>153440</v>
      </c>
      <c r="K3" s="18" t="s">
        <v>15</v>
      </c>
      <c r="L3">
        <f t="shared" ref="L3:L7" si="1">SUMIF($A3:$A32,$K3,$B3:$B32)</f>
        <v>153440</v>
      </c>
      <c r="O3" s="18" t="s">
        <v>15</v>
      </c>
      <c r="P3">
        <f t="shared" ref="P3:P7" si="2">SUMIF(A3:A32,O3,B3:B32)</f>
        <v>153440</v>
      </c>
    </row>
    <row r="4" spans="1:16" ht="15.5" x14ac:dyDescent="0.35">
      <c r="A4" s="18" t="s">
        <v>11</v>
      </c>
      <c r="B4" s="20">
        <v>26752</v>
      </c>
      <c r="E4" s="18" t="s">
        <v>23</v>
      </c>
      <c r="F4" s="10">
        <f t="shared" si="0"/>
        <v>20900</v>
      </c>
      <c r="K4" s="18" t="s">
        <v>23</v>
      </c>
      <c r="L4">
        <f t="shared" si="1"/>
        <v>20900</v>
      </c>
      <c r="O4" s="18" t="s">
        <v>23</v>
      </c>
      <c r="P4">
        <f t="shared" si="2"/>
        <v>20900</v>
      </c>
    </row>
    <row r="5" spans="1:16" ht="15.5" x14ac:dyDescent="0.35">
      <c r="A5" s="18" t="s">
        <v>11</v>
      </c>
      <c r="B5" s="20">
        <v>26752</v>
      </c>
      <c r="E5" s="18" t="s">
        <v>16</v>
      </c>
      <c r="F5" s="10">
        <f t="shared" si="0"/>
        <v>173710</v>
      </c>
      <c r="K5" s="18" t="s">
        <v>16</v>
      </c>
      <c r="L5">
        <f t="shared" si="1"/>
        <v>173710</v>
      </c>
      <c r="O5" s="18" t="s">
        <v>16</v>
      </c>
      <c r="P5">
        <f t="shared" si="2"/>
        <v>173710</v>
      </c>
    </row>
    <row r="6" spans="1:16" ht="15.5" x14ac:dyDescent="0.35">
      <c r="A6" s="18" t="s">
        <v>15</v>
      </c>
      <c r="B6" s="20">
        <v>33440</v>
      </c>
      <c r="E6" s="18" t="s">
        <v>26</v>
      </c>
      <c r="F6" s="10">
        <f t="shared" si="0"/>
        <v>95456</v>
      </c>
      <c r="K6" s="18" t="s">
        <v>26</v>
      </c>
      <c r="L6">
        <f t="shared" si="1"/>
        <v>95456</v>
      </c>
      <c r="O6" s="18" t="s">
        <v>26</v>
      </c>
      <c r="P6">
        <f t="shared" si="2"/>
        <v>95456</v>
      </c>
    </row>
    <row r="7" spans="1:16" ht="15.5" x14ac:dyDescent="0.35">
      <c r="A7" s="18" t="s">
        <v>23</v>
      </c>
      <c r="B7" s="20">
        <v>20900</v>
      </c>
      <c r="E7" s="18" t="s">
        <v>29</v>
      </c>
      <c r="F7" s="10">
        <f t="shared" si="0"/>
        <v>84750</v>
      </c>
      <c r="K7" s="18" t="s">
        <v>29</v>
      </c>
      <c r="L7">
        <f t="shared" si="1"/>
        <v>84750</v>
      </c>
      <c r="O7" s="18" t="s">
        <v>29</v>
      </c>
      <c r="P7">
        <f t="shared" si="2"/>
        <v>84750</v>
      </c>
    </row>
    <row r="8" spans="1:16" ht="16" x14ac:dyDescent="0.4">
      <c r="A8" s="18" t="s">
        <v>16</v>
      </c>
      <c r="B8" s="20">
        <v>26240</v>
      </c>
      <c r="H8" s="22" t="s">
        <v>173</v>
      </c>
      <c r="O8" s="31" t="s">
        <v>174</v>
      </c>
      <c r="P8">
        <f>SUM(P2:P7)</f>
        <v>682960</v>
      </c>
    </row>
    <row r="9" spans="1:16" ht="15.5" x14ac:dyDescent="0.35">
      <c r="A9" s="18" t="s">
        <v>26</v>
      </c>
      <c r="B9" s="20">
        <v>20000</v>
      </c>
      <c r="H9" s="21" t="s">
        <v>175</v>
      </c>
    </row>
    <row r="10" spans="1:16" ht="15.5" x14ac:dyDescent="0.35">
      <c r="A10" s="18" t="s">
        <v>11</v>
      </c>
      <c r="B10" s="20">
        <v>12000</v>
      </c>
    </row>
    <row r="11" spans="1:16" ht="15.5" x14ac:dyDescent="0.35">
      <c r="A11" s="18" t="s">
        <v>29</v>
      </c>
      <c r="B11" s="20">
        <v>12000</v>
      </c>
    </row>
    <row r="12" spans="1:16" ht="15.5" x14ac:dyDescent="0.35">
      <c r="A12" s="18" t="s">
        <v>16</v>
      </c>
      <c r="B12" s="20">
        <v>12000</v>
      </c>
    </row>
    <row r="13" spans="1:16" ht="15.5" x14ac:dyDescent="0.35">
      <c r="A13" s="18" t="s">
        <v>26</v>
      </c>
      <c r="B13" s="20">
        <v>25600</v>
      </c>
    </row>
    <row r="14" spans="1:16" ht="15.5" x14ac:dyDescent="0.35">
      <c r="A14" s="18" t="s">
        <v>16</v>
      </c>
      <c r="B14" s="20">
        <v>32000</v>
      </c>
    </row>
    <row r="15" spans="1:16" ht="15.5" x14ac:dyDescent="0.35">
      <c r="A15" s="18" t="s">
        <v>26</v>
      </c>
      <c r="B15" s="20">
        <v>25536</v>
      </c>
    </row>
    <row r="16" spans="1:16" ht="15.5" x14ac:dyDescent="0.35">
      <c r="A16" s="18" t="s">
        <v>15</v>
      </c>
      <c r="B16" s="20">
        <v>31840</v>
      </c>
    </row>
    <row r="17" spans="1:2" ht="15.5" x14ac:dyDescent="0.35">
      <c r="A17" s="18" t="s">
        <v>16</v>
      </c>
      <c r="B17" s="20">
        <v>30400</v>
      </c>
    </row>
    <row r="18" spans="1:2" ht="15.5" x14ac:dyDescent="0.35">
      <c r="A18" s="18" t="s">
        <v>11</v>
      </c>
      <c r="B18" s="20">
        <v>11400</v>
      </c>
    </row>
    <row r="19" spans="1:2" ht="15.5" x14ac:dyDescent="0.35">
      <c r="A19" s="18" t="s">
        <v>15</v>
      </c>
      <c r="B19" s="20">
        <v>30400</v>
      </c>
    </row>
    <row r="20" spans="1:2" ht="15.5" x14ac:dyDescent="0.35">
      <c r="A20" s="18" t="s">
        <v>11</v>
      </c>
      <c r="B20" s="20">
        <v>11400</v>
      </c>
    </row>
    <row r="21" spans="1:2" ht="15.5" x14ac:dyDescent="0.35">
      <c r="A21" s="18" t="s">
        <v>15</v>
      </c>
      <c r="B21" s="20">
        <v>24320</v>
      </c>
    </row>
    <row r="22" spans="1:2" ht="15.5" x14ac:dyDescent="0.35">
      <c r="A22" s="18" t="s">
        <v>16</v>
      </c>
      <c r="B22" s="20">
        <v>24320</v>
      </c>
    </row>
    <row r="23" spans="1:2" ht="15.5" x14ac:dyDescent="0.35">
      <c r="A23" s="18" t="s">
        <v>26</v>
      </c>
      <c r="B23" s="20">
        <v>24320</v>
      </c>
    </row>
    <row r="24" spans="1:2" ht="15.5" x14ac:dyDescent="0.35">
      <c r="A24" s="18" t="s">
        <v>29</v>
      </c>
      <c r="B24" s="20">
        <v>24000</v>
      </c>
    </row>
    <row r="25" spans="1:2" ht="15.5" x14ac:dyDescent="0.35">
      <c r="A25" s="18" t="s">
        <v>29</v>
      </c>
      <c r="B25" s="20">
        <v>30000</v>
      </c>
    </row>
    <row r="26" spans="1:2" ht="15.5" x14ac:dyDescent="0.35">
      <c r="A26" s="18" t="s">
        <v>16</v>
      </c>
      <c r="B26" s="20">
        <v>11250</v>
      </c>
    </row>
    <row r="27" spans="1:2" ht="15.5" x14ac:dyDescent="0.35">
      <c r="A27" s="18" t="s">
        <v>11</v>
      </c>
      <c r="B27" s="20">
        <v>11250</v>
      </c>
    </row>
    <row r="28" spans="1:2" ht="15.5" x14ac:dyDescent="0.35">
      <c r="A28" s="18" t="s">
        <v>11</v>
      </c>
      <c r="B28" s="20">
        <v>18750</v>
      </c>
    </row>
    <row r="29" spans="1:2" ht="15.5" x14ac:dyDescent="0.35">
      <c r="A29" s="18" t="s">
        <v>29</v>
      </c>
      <c r="B29" s="20">
        <v>18750</v>
      </c>
    </row>
    <row r="30" spans="1:2" ht="15.5" x14ac:dyDescent="0.35">
      <c r="A30" s="18" t="s">
        <v>16</v>
      </c>
      <c r="B30" s="20">
        <v>18750</v>
      </c>
    </row>
    <row r="31" spans="1:2" ht="15.5" x14ac:dyDescent="0.35">
      <c r="A31" s="18" t="s">
        <v>16</v>
      </c>
      <c r="B31" s="20">
        <v>18750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0F35B-F5F9-4D94-B0B1-F6E3E777231B}">
  <dimension ref="A1:L31"/>
  <sheetViews>
    <sheetView workbookViewId="0">
      <selection activeCell="I14" sqref="I14"/>
    </sheetView>
  </sheetViews>
  <sheetFormatPr defaultRowHeight="14.5" x14ac:dyDescent="0.35"/>
  <cols>
    <col min="2" max="2" width="11.26953125" bestFit="1" customWidth="1"/>
    <col min="3" max="3" width="14.54296875" bestFit="1" customWidth="1"/>
    <col min="7" max="7" width="26.26953125" bestFit="1" customWidth="1"/>
    <col min="12" max="12" width="47.54296875" bestFit="1" customWidth="1"/>
  </cols>
  <sheetData>
    <row r="1" spans="1:12" ht="45" x14ac:dyDescent="0.35">
      <c r="A1" s="17" t="s">
        <v>0</v>
      </c>
      <c r="B1" s="17" t="s">
        <v>1</v>
      </c>
      <c r="C1" s="17" t="s">
        <v>6</v>
      </c>
      <c r="D1" s="17" t="s">
        <v>7</v>
      </c>
      <c r="G1" s="16"/>
    </row>
    <row r="2" spans="1:12" ht="15.5" x14ac:dyDescent="0.35">
      <c r="A2" s="18">
        <v>10507</v>
      </c>
      <c r="B2" s="18" t="s">
        <v>8</v>
      </c>
      <c r="C2" s="18" t="s">
        <v>176</v>
      </c>
      <c r="D2" s="20">
        <v>36400</v>
      </c>
    </row>
    <row r="3" spans="1:12" ht="15.5" x14ac:dyDescent="0.35">
      <c r="A3" s="18">
        <v>10534</v>
      </c>
      <c r="B3" s="18" t="s">
        <v>13</v>
      </c>
      <c r="C3" s="18" t="s">
        <v>177</v>
      </c>
      <c r="D3" s="20">
        <v>33440</v>
      </c>
      <c r="G3" s="21" t="s">
        <v>178</v>
      </c>
      <c r="H3" s="13" t="s">
        <v>11</v>
      </c>
      <c r="I3" s="13" t="s">
        <v>15</v>
      </c>
      <c r="J3" s="13" t="s">
        <v>23</v>
      </c>
      <c r="K3" s="13" t="s">
        <v>16</v>
      </c>
      <c r="L3" s="32" t="s">
        <v>11</v>
      </c>
    </row>
    <row r="4" spans="1:12" ht="15.5" x14ac:dyDescent="0.35">
      <c r="A4" s="18">
        <v>10537</v>
      </c>
      <c r="B4" s="18" t="s">
        <v>17</v>
      </c>
      <c r="C4" s="18" t="s">
        <v>179</v>
      </c>
      <c r="D4" s="20">
        <v>26752</v>
      </c>
      <c r="G4" s="21" t="s">
        <v>7</v>
      </c>
      <c r="H4" s="10">
        <f>SUMIFS($D$2:$D$31,$C$2:$C$31,"FR"&amp;"*")</f>
        <v>154704</v>
      </c>
      <c r="I4" s="10">
        <f t="shared" ref="I4:K4" si="0">SUMIFS($D$2:$D$31,$C$2:$C$31,I3&amp;"*")</f>
        <v>153440</v>
      </c>
      <c r="J4" s="10">
        <f t="shared" si="0"/>
        <v>20900</v>
      </c>
      <c r="K4" s="10">
        <f t="shared" si="0"/>
        <v>173710</v>
      </c>
      <c r="L4">
        <f>SUMIFS(D2:D31,C2:C31,"F*")</f>
        <v>154704</v>
      </c>
    </row>
    <row r="5" spans="1:12" ht="15.5" x14ac:dyDescent="0.35">
      <c r="A5" s="18">
        <v>10538</v>
      </c>
      <c r="B5" s="18" t="s">
        <v>17</v>
      </c>
      <c r="C5" s="18" t="s">
        <v>179</v>
      </c>
      <c r="D5" s="20">
        <v>26752</v>
      </c>
    </row>
    <row r="6" spans="1:12" ht="15.5" x14ac:dyDescent="0.35">
      <c r="A6" s="18">
        <v>10542</v>
      </c>
      <c r="B6" s="18" t="s">
        <v>17</v>
      </c>
      <c r="C6" s="18" t="s">
        <v>177</v>
      </c>
      <c r="D6" s="20">
        <v>33440</v>
      </c>
      <c r="G6" s="10" t="s">
        <v>180</v>
      </c>
      <c r="H6" s="10">
        <f>COUNTIF(C2:C31,"J*")</f>
        <v>8</v>
      </c>
      <c r="I6">
        <f>COUNTIF(C2:C31,"J*")</f>
        <v>8</v>
      </c>
    </row>
    <row r="7" spans="1:12" ht="15.5" x14ac:dyDescent="0.35">
      <c r="A7" s="18">
        <v>105406</v>
      </c>
      <c r="B7" s="23">
        <v>45415</v>
      </c>
      <c r="C7" s="18" t="s">
        <v>181</v>
      </c>
      <c r="D7" s="20">
        <v>20900</v>
      </c>
      <c r="G7" t="s">
        <v>182</v>
      </c>
      <c r="H7">
        <f>SUMIF(C2:C31,"F*",D2:D31)</f>
        <v>154704</v>
      </c>
      <c r="L7" s="26" t="s">
        <v>183</v>
      </c>
    </row>
    <row r="8" spans="1:12" ht="16" x14ac:dyDescent="0.4">
      <c r="A8" s="18">
        <v>10485</v>
      </c>
      <c r="B8" s="23">
        <v>45415</v>
      </c>
      <c r="C8" s="18" t="s">
        <v>184</v>
      </c>
      <c r="D8" s="20">
        <v>26240</v>
      </c>
      <c r="G8" t="s">
        <v>185</v>
      </c>
      <c r="H8">
        <f>COUNTIF(C2:C31,"I*")</f>
        <v>5</v>
      </c>
      <c r="L8" s="22" t="s">
        <v>186</v>
      </c>
    </row>
    <row r="9" spans="1:12" ht="15.5" x14ac:dyDescent="0.35">
      <c r="A9" s="18">
        <v>10453</v>
      </c>
      <c r="B9" s="23">
        <v>45415</v>
      </c>
      <c r="C9" s="18" t="s">
        <v>187</v>
      </c>
      <c r="D9" s="20">
        <v>20000</v>
      </c>
    </row>
    <row r="10" spans="1:12" ht="15.5" x14ac:dyDescent="0.35">
      <c r="A10" s="18">
        <v>10477</v>
      </c>
      <c r="B10" s="23">
        <v>45415</v>
      </c>
      <c r="C10" s="18" t="s">
        <v>188</v>
      </c>
      <c r="D10" s="20">
        <v>12000</v>
      </c>
    </row>
    <row r="11" spans="1:12" ht="15.5" x14ac:dyDescent="0.35">
      <c r="A11" s="18">
        <v>10486</v>
      </c>
      <c r="B11" s="23">
        <v>45357</v>
      </c>
      <c r="C11" s="18" t="s">
        <v>189</v>
      </c>
      <c r="D11" s="20">
        <v>12000</v>
      </c>
      <c r="G11" s="6" t="s">
        <v>190</v>
      </c>
    </row>
    <row r="12" spans="1:12" ht="26" x14ac:dyDescent="0.35">
      <c r="A12" s="18">
        <v>10490</v>
      </c>
      <c r="B12" s="18" t="s">
        <v>17</v>
      </c>
      <c r="C12" s="18" t="s">
        <v>191</v>
      </c>
      <c r="D12" s="20">
        <v>12000</v>
      </c>
      <c r="G12" s="25" t="s">
        <v>192</v>
      </c>
    </row>
    <row r="13" spans="1:12" ht="15.5" x14ac:dyDescent="0.35">
      <c r="A13" s="18">
        <v>10502</v>
      </c>
      <c r="B13" s="18" t="s">
        <v>31</v>
      </c>
      <c r="C13" s="18" t="s">
        <v>187</v>
      </c>
      <c r="D13" s="20">
        <v>25600</v>
      </c>
    </row>
    <row r="14" spans="1:12" ht="15.5" x14ac:dyDescent="0.35">
      <c r="A14" s="18">
        <v>10523</v>
      </c>
      <c r="B14" s="23">
        <v>45634</v>
      </c>
      <c r="C14" s="18" t="s">
        <v>191</v>
      </c>
      <c r="D14" s="20">
        <v>32000</v>
      </c>
    </row>
    <row r="15" spans="1:12" ht="15.5" x14ac:dyDescent="0.35">
      <c r="A15" s="18">
        <v>10525</v>
      </c>
      <c r="B15" s="23">
        <v>45576</v>
      </c>
      <c r="C15" s="18" t="s">
        <v>187</v>
      </c>
      <c r="D15" s="20">
        <v>25536</v>
      </c>
    </row>
    <row r="16" spans="1:12" ht="15.5" x14ac:dyDescent="0.35">
      <c r="A16" s="18">
        <v>10535</v>
      </c>
      <c r="B16" s="23">
        <v>45871</v>
      </c>
      <c r="C16" s="18" t="s">
        <v>193</v>
      </c>
      <c r="D16" s="20">
        <v>31840</v>
      </c>
    </row>
    <row r="17" spans="1:4" ht="15.5" x14ac:dyDescent="0.35">
      <c r="A17" s="18">
        <v>10461</v>
      </c>
      <c r="B17" s="23">
        <v>45905</v>
      </c>
      <c r="C17" s="18" t="s">
        <v>194</v>
      </c>
      <c r="D17" s="20">
        <v>30400</v>
      </c>
    </row>
    <row r="18" spans="1:4" ht="15.5" x14ac:dyDescent="0.35">
      <c r="A18" s="18">
        <v>10506</v>
      </c>
      <c r="B18" s="23">
        <v>45846</v>
      </c>
      <c r="C18" s="18" t="s">
        <v>195</v>
      </c>
      <c r="D18" s="20">
        <v>11400</v>
      </c>
    </row>
    <row r="19" spans="1:4" ht="15.5" x14ac:dyDescent="0.35">
      <c r="A19" s="18">
        <v>10531</v>
      </c>
      <c r="B19" s="18" t="s">
        <v>38</v>
      </c>
      <c r="C19" s="18" t="s">
        <v>196</v>
      </c>
      <c r="D19" s="20">
        <v>30400</v>
      </c>
    </row>
    <row r="20" spans="1:4" ht="15.5" x14ac:dyDescent="0.35">
      <c r="A20" s="18">
        <v>10536</v>
      </c>
      <c r="B20" s="18" t="s">
        <v>44</v>
      </c>
      <c r="C20" s="18" t="s">
        <v>195</v>
      </c>
      <c r="D20" s="20">
        <v>11400</v>
      </c>
    </row>
    <row r="21" spans="1:4" ht="15.5" x14ac:dyDescent="0.35">
      <c r="A21" s="18">
        <v>10541</v>
      </c>
      <c r="B21" s="23">
        <v>45420</v>
      </c>
      <c r="C21" s="18" t="s">
        <v>196</v>
      </c>
      <c r="D21" s="20">
        <v>24320</v>
      </c>
    </row>
    <row r="22" spans="1:4" ht="15.5" x14ac:dyDescent="0.35">
      <c r="A22" s="18">
        <v>10546</v>
      </c>
      <c r="B22" s="18" t="s">
        <v>47</v>
      </c>
      <c r="C22" s="18" t="s">
        <v>194</v>
      </c>
      <c r="D22" s="20">
        <v>24320</v>
      </c>
    </row>
    <row r="23" spans="1:4" ht="15.5" x14ac:dyDescent="0.35">
      <c r="A23" s="18">
        <v>10501</v>
      </c>
      <c r="B23" s="18" t="s">
        <v>49</v>
      </c>
      <c r="C23" s="18" t="s">
        <v>197</v>
      </c>
      <c r="D23" s="20">
        <v>24320</v>
      </c>
    </row>
    <row r="24" spans="1:4" ht="15.5" x14ac:dyDescent="0.35">
      <c r="A24" s="18">
        <v>10456</v>
      </c>
      <c r="B24" s="23">
        <v>45449</v>
      </c>
      <c r="C24" s="18" t="s">
        <v>198</v>
      </c>
      <c r="D24" s="20">
        <v>24000</v>
      </c>
    </row>
    <row r="25" spans="1:4" ht="15.5" x14ac:dyDescent="0.35">
      <c r="A25" s="18">
        <v>10457</v>
      </c>
      <c r="B25" s="18" t="s">
        <v>52</v>
      </c>
      <c r="C25" s="18" t="s">
        <v>198</v>
      </c>
      <c r="D25" s="20">
        <v>30000</v>
      </c>
    </row>
    <row r="26" spans="1:4" ht="15.5" x14ac:dyDescent="0.35">
      <c r="A26" s="18">
        <v>10463</v>
      </c>
      <c r="B26" s="18" t="s">
        <v>38</v>
      </c>
      <c r="C26" s="18" t="s">
        <v>199</v>
      </c>
      <c r="D26" s="20">
        <v>11250</v>
      </c>
    </row>
    <row r="27" spans="1:4" ht="15.5" x14ac:dyDescent="0.35">
      <c r="A27" s="18">
        <v>10468</v>
      </c>
      <c r="B27" s="18" t="s">
        <v>44</v>
      </c>
      <c r="C27" s="18" t="s">
        <v>200</v>
      </c>
      <c r="D27" s="20">
        <v>11250</v>
      </c>
    </row>
    <row r="28" spans="1:4" ht="15.5" x14ac:dyDescent="0.35">
      <c r="A28" s="18">
        <v>10470</v>
      </c>
      <c r="B28" s="18" t="s">
        <v>56</v>
      </c>
      <c r="C28" s="18" t="s">
        <v>200</v>
      </c>
      <c r="D28" s="20">
        <v>18750</v>
      </c>
    </row>
    <row r="29" spans="1:4" ht="15.5" x14ac:dyDescent="0.35">
      <c r="A29" s="18">
        <v>10473</v>
      </c>
      <c r="B29" s="18" t="s">
        <v>17</v>
      </c>
      <c r="C29" s="18" t="s">
        <v>198</v>
      </c>
      <c r="D29" s="20">
        <v>18750</v>
      </c>
    </row>
    <row r="30" spans="1:4" ht="15.5" x14ac:dyDescent="0.35">
      <c r="A30" s="18">
        <v>10478</v>
      </c>
      <c r="B30" s="18" t="s">
        <v>56</v>
      </c>
      <c r="C30" s="18" t="s">
        <v>199</v>
      </c>
      <c r="D30" s="20">
        <v>18750</v>
      </c>
    </row>
    <row r="31" spans="1:4" ht="15.5" x14ac:dyDescent="0.35">
      <c r="A31" s="18">
        <v>10478</v>
      </c>
      <c r="B31" s="18" t="s">
        <v>60</v>
      </c>
      <c r="C31" s="18" t="s">
        <v>201</v>
      </c>
      <c r="D31" s="20">
        <v>18750</v>
      </c>
    </row>
  </sheetData>
  <conditionalFormatting sqref="A2:D31">
    <cfRule type="expression" dxfId="3" priority="1">
      <formula>$E2=#REF!</formula>
    </cfRule>
    <cfRule type="expression" dxfId="2" priority="2">
      <formula>$F2=#REF!</formula>
    </cfRule>
    <cfRule type="expression" dxfId="1" priority="3">
      <formula>$E2=#REF!</formula>
    </cfRule>
    <cfRule type="expression" dxfId="0" priority="4">
      <formula>$E2=#REF!</formula>
    </cfRule>
  </conditionalFormatting>
  <conditionalFormatting sqref="C1">
    <cfRule type="dataBar" priority="5">
      <dataBar>
        <cfvo type="min"/>
        <cfvo type="max"/>
        <color rgb="FFFFB628"/>
      </dataBar>
      <extLst>
        <ext xmlns:x14="http://schemas.microsoft.com/office/spreadsheetml/2009/9/main" uri="{B025F937-C7B1-47D3-B67F-A62EFF666E3E}">
          <x14:id>{5F716858-7CD3-478F-8AF9-8EF4879755F3}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F716858-7CD3-478F-8AF9-8EF4879755F3}">
            <x14:dataBar minLength="0" maxLength="100" border="1" negativeBarBorderColorSameAsPositive="0">
              <x14:cfvo type="autoMin"/>
              <x14:cfvo type="autoMax"/>
              <x14:borderColor rgb="FFFFB628"/>
              <x14:negativeFillColor rgb="FFFF0000"/>
              <x14:negativeBorderColor rgb="FFFF0000"/>
              <x14:axisColor rgb="FF000000"/>
            </x14:dataBar>
          </x14:cfRule>
          <xm:sqref>C1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8900-CD8F-42CB-A3A5-634D837D1567}">
  <dimension ref="A2:C30"/>
  <sheetViews>
    <sheetView tabSelected="1" topLeftCell="A4" workbookViewId="0">
      <selection activeCell="B11" sqref="B11:B14"/>
    </sheetView>
  </sheetViews>
  <sheetFormatPr defaultRowHeight="14.5" x14ac:dyDescent="0.35"/>
  <cols>
    <col min="2" max="2" width="69.54296875" bestFit="1" customWidth="1"/>
    <col min="3" max="3" width="88.7265625" customWidth="1"/>
  </cols>
  <sheetData>
    <row r="2" spans="1:3" ht="29" x14ac:dyDescent="0.35">
      <c r="A2">
        <v>1</v>
      </c>
      <c r="B2" t="s">
        <v>202</v>
      </c>
      <c r="C2" s="16" t="s">
        <v>229</v>
      </c>
    </row>
    <row r="3" spans="1:3" ht="101.5" x14ac:dyDescent="0.35">
      <c r="A3" s="45">
        <v>2</v>
      </c>
      <c r="B3" s="16" t="s">
        <v>203</v>
      </c>
      <c r="C3" s="16" t="s">
        <v>230</v>
      </c>
    </row>
    <row r="4" spans="1:3" ht="130.5" x14ac:dyDescent="0.35">
      <c r="A4" s="45">
        <v>3</v>
      </c>
      <c r="B4" s="16" t="s">
        <v>204</v>
      </c>
      <c r="C4" s="16" t="s">
        <v>231</v>
      </c>
    </row>
    <row r="5" spans="1:3" x14ac:dyDescent="0.35">
      <c r="A5">
        <v>4</v>
      </c>
      <c r="B5" t="s">
        <v>205</v>
      </c>
    </row>
    <row r="6" spans="1:3" x14ac:dyDescent="0.35">
      <c r="B6" t="s">
        <v>206</v>
      </c>
      <c r="C6" s="16" t="s">
        <v>232</v>
      </c>
    </row>
    <row r="7" spans="1:3" x14ac:dyDescent="0.35">
      <c r="B7" t="s">
        <v>207</v>
      </c>
      <c r="C7" s="16" t="s">
        <v>233</v>
      </c>
    </row>
    <row r="8" spans="1:3" x14ac:dyDescent="0.35">
      <c r="B8" t="s">
        <v>208</v>
      </c>
      <c r="C8" s="16" t="s">
        <v>234</v>
      </c>
    </row>
    <row r="9" spans="1:3" x14ac:dyDescent="0.35">
      <c r="A9">
        <v>5</v>
      </c>
      <c r="B9" t="s">
        <v>209</v>
      </c>
      <c r="C9" s="16" t="s">
        <v>235</v>
      </c>
    </row>
    <row r="10" spans="1:3" x14ac:dyDescent="0.35">
      <c r="B10" t="s">
        <v>210</v>
      </c>
      <c r="C10" s="16" t="s">
        <v>236</v>
      </c>
    </row>
    <row r="11" spans="1:3" x14ac:dyDescent="0.35">
      <c r="A11">
        <v>6</v>
      </c>
      <c r="B11" t="s">
        <v>205</v>
      </c>
    </row>
    <row r="12" spans="1:3" x14ac:dyDescent="0.35">
      <c r="B12" t="s">
        <v>211</v>
      </c>
    </row>
    <row r="13" spans="1:3" x14ac:dyDescent="0.35">
      <c r="B13" t="s">
        <v>212</v>
      </c>
    </row>
    <row r="14" spans="1:3" x14ac:dyDescent="0.35">
      <c r="B14" t="s">
        <v>213</v>
      </c>
    </row>
    <row r="15" spans="1:3" x14ac:dyDescent="0.35">
      <c r="A15">
        <v>7</v>
      </c>
      <c r="B15" t="s">
        <v>214</v>
      </c>
    </row>
    <row r="16" spans="1:3" x14ac:dyDescent="0.35">
      <c r="A16">
        <v>8</v>
      </c>
      <c r="B16" t="s">
        <v>205</v>
      </c>
    </row>
    <row r="17" spans="1:2" x14ac:dyDescent="0.35">
      <c r="B17" t="s">
        <v>215</v>
      </c>
    </row>
    <row r="18" spans="1:2" x14ac:dyDescent="0.35">
      <c r="B18" t="s">
        <v>216</v>
      </c>
    </row>
    <row r="19" spans="1:2" x14ac:dyDescent="0.35">
      <c r="B19" t="s">
        <v>217</v>
      </c>
    </row>
    <row r="20" spans="1:2" x14ac:dyDescent="0.35">
      <c r="B20" t="s">
        <v>218</v>
      </c>
    </row>
    <row r="21" spans="1:2" x14ac:dyDescent="0.35">
      <c r="A21">
        <v>9</v>
      </c>
      <c r="B21" t="s">
        <v>219</v>
      </c>
    </row>
    <row r="22" spans="1:2" x14ac:dyDescent="0.35">
      <c r="B22" t="s">
        <v>220</v>
      </c>
    </row>
    <row r="23" spans="1:2" x14ac:dyDescent="0.35">
      <c r="B23" t="s">
        <v>221</v>
      </c>
    </row>
    <row r="24" spans="1:2" x14ac:dyDescent="0.35">
      <c r="B24" t="s">
        <v>222</v>
      </c>
    </row>
    <row r="25" spans="1:2" x14ac:dyDescent="0.35">
      <c r="B25" t="s">
        <v>223</v>
      </c>
    </row>
    <row r="26" spans="1:2" x14ac:dyDescent="0.35">
      <c r="A26">
        <v>10</v>
      </c>
      <c r="B26" t="s">
        <v>224</v>
      </c>
    </row>
    <row r="27" spans="1:2" x14ac:dyDescent="0.35">
      <c r="B27" t="s">
        <v>225</v>
      </c>
    </row>
    <row r="28" spans="1:2" x14ac:dyDescent="0.35">
      <c r="B28" t="s">
        <v>226</v>
      </c>
    </row>
    <row r="29" spans="1:2" x14ac:dyDescent="0.35">
      <c r="B29" t="s">
        <v>227</v>
      </c>
    </row>
    <row r="30" spans="1:2" x14ac:dyDescent="0.35">
      <c r="B30"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Sales_Data</vt:lpstr>
      <vt:lpstr>Lookups</vt:lpstr>
      <vt:lpstr>Index_Match</vt:lpstr>
      <vt:lpstr>Daily_Questions</vt:lpstr>
      <vt:lpstr>IF</vt:lpstr>
      <vt:lpstr>IFS</vt:lpstr>
      <vt:lpstr>Count_if</vt:lpstr>
      <vt:lpstr>Sheet1</vt:lpstr>
      <vt:lpstr>Sumif</vt:lpstr>
      <vt:lpstr>Wildcard_SUMIFS</vt:lpstr>
      <vt:lpstr>9_2_026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Vishal Kambale</dc:creator>
  <cp:keywords/>
  <dc:description/>
  <cp:lastModifiedBy>MANOJ DHAGE</cp:lastModifiedBy>
  <cp:revision/>
  <dcterms:created xsi:type="dcterms:W3CDTF">2025-09-17T03:34:56Z</dcterms:created>
  <dcterms:modified xsi:type="dcterms:W3CDTF">2026-02-09T04:29:36Z</dcterms:modified>
  <cp:category/>
  <cp:contentStatus/>
</cp:coreProperties>
</file>