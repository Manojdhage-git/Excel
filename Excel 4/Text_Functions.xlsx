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Excel 4/"/>
    </mc:Choice>
  </mc:AlternateContent>
  <xr:revisionPtr revIDLastSave="386" documentId="8_{8ED8910B-4D9C-4E82-9105-C2C75221D13E}" xr6:coauthVersionLast="47" xr6:coauthVersionMax="47" xr10:uidLastSave="{B2577A91-D0E2-474A-902B-75255BA7EE7D}"/>
  <bookViews>
    <workbookView xWindow="-110" yWindow="-110" windowWidth="19420" windowHeight="10300" xr2:uid="{8A1F0128-B911-4EC5-B1FC-A7044E51F744}"/>
  </bookViews>
  <sheets>
    <sheet name="Functions" sheetId="1" r:id="rId1"/>
    <sheet name="Text_Functions_Practi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 a="1"/>
  <c r="I21" i="2" s="1"/>
  <c r="H21" i="2"/>
  <c r="H22" i="2"/>
  <c r="H20" i="2"/>
  <c r="H13" i="2"/>
  <c r="H18" i="2"/>
  <c r="H15" i="2"/>
  <c r="H9" i="2"/>
  <c r="H17" i="2"/>
  <c r="H16" i="2"/>
  <c r="H12" i="2"/>
  <c r="H11" i="2"/>
  <c r="H10" i="2"/>
  <c r="H8" i="2"/>
  <c r="H7" i="2"/>
  <c r="H6" i="2"/>
  <c r="H5" i="2"/>
  <c r="H4" i="2"/>
  <c r="H3" i="2"/>
  <c r="H2" i="2"/>
  <c r="H38" i="1"/>
  <c r="H36" i="1"/>
  <c r="I31" i="1"/>
  <c r="I28" i="1"/>
  <c r="I25" i="1"/>
  <c r="I22" i="1"/>
  <c r="H18" i="1"/>
  <c r="H16" i="1"/>
  <c r="I13" i="1"/>
  <c r="I12" i="1"/>
  <c r="J13" i="1"/>
  <c r="J12" i="1"/>
  <c r="I18" i="1"/>
  <c r="I10" i="1"/>
  <c r="I8" i="1"/>
  <c r="I6" i="1"/>
  <c r="I4" i="1"/>
  <c r="I2" i="1"/>
  <c r="H40" i="1"/>
  <c r="H37" i="1"/>
  <c r="H35" i="1"/>
  <c r="H34" i="1"/>
  <c r="H31" i="1"/>
  <c r="H28" i="1"/>
  <c r="H25" i="1"/>
  <c r="H22" i="1"/>
  <c r="H20" i="1"/>
  <c r="H8" i="1"/>
  <c r="H6" i="1"/>
  <c r="H4" i="1"/>
  <c r="H2" i="1"/>
  <c r="H14" i="1" l="1"/>
  <c r="H12" i="1"/>
  <c r="H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<sst xmlns="http://schemas.openxmlformats.org/spreadsheetml/2006/main" count="176" uniqueCount="157">
  <si>
    <t>Function</t>
  </si>
  <si>
    <t>Meaning</t>
  </si>
  <si>
    <t>Syntax</t>
  </si>
  <si>
    <t>Explanation (Simple &amp; Teaching Friendly)</t>
  </si>
  <si>
    <t>Example</t>
  </si>
  <si>
    <t>Answer</t>
  </si>
  <si>
    <t>PROPER</t>
  </si>
  <si>
    <t>Converts text to proper case</t>
  </si>
  <si>
    <t>=PROPER(text)</t>
  </si>
  <si>
    <r>
      <t xml:space="preserve">Capitalizes the </t>
    </r>
    <r>
      <rPr>
        <b/>
        <sz val="11"/>
        <color theme="1"/>
        <rFont val="Aptos Narrow"/>
        <family val="2"/>
        <scheme val="minor"/>
      </rPr>
      <t>first letter of each word</t>
    </r>
    <r>
      <rPr>
        <sz val="11"/>
        <color theme="1"/>
        <rFont val="Aptos Narrow"/>
        <family val="2"/>
        <scheme val="minor"/>
      </rPr>
      <t xml:space="preserve"> and converts the rest to lowercase</t>
    </r>
  </si>
  <si>
    <t>upgrad</t>
  </si>
  <si>
    <t>A B C</t>
  </si>
  <si>
    <t>LOWER</t>
  </si>
  <si>
    <t>Converts text to lowercase</t>
  </si>
  <si>
    <t>=LOWER(text)</t>
  </si>
  <si>
    <r>
      <t xml:space="preserve">Converts all letters to </t>
    </r>
    <r>
      <rPr>
        <b/>
        <sz val="11"/>
        <color theme="1"/>
        <rFont val="Aptos Narrow"/>
        <family val="2"/>
        <scheme val="minor"/>
      </rPr>
      <t>small letters</t>
    </r>
  </si>
  <si>
    <t>UPGRAD</t>
  </si>
  <si>
    <t>UPPER</t>
  </si>
  <si>
    <t>Converts text to uppercase</t>
  </si>
  <si>
    <t>=UPPER(text)</t>
  </si>
  <si>
    <r>
      <t xml:space="preserve">Converts all letters to </t>
    </r>
    <r>
      <rPr>
        <b/>
        <sz val="11"/>
        <color theme="1"/>
        <rFont val="Aptos Narrow"/>
        <family val="2"/>
        <scheme val="minor"/>
      </rPr>
      <t>capital letters</t>
    </r>
  </si>
  <si>
    <t>tcs</t>
  </si>
  <si>
    <t>LEN</t>
  </si>
  <si>
    <t>Counts characters</t>
  </si>
  <si>
    <t>=LEN(text)</t>
  </si>
  <si>
    <r>
      <t xml:space="preserve">Counts </t>
    </r>
    <r>
      <rPr>
        <b/>
        <sz val="11"/>
        <color theme="1"/>
        <rFont val="Aptos Narrow"/>
        <family val="2"/>
        <scheme val="minor"/>
      </rPr>
      <t>total characters including spaces</t>
    </r>
  </si>
  <si>
    <t xml:space="preserve"> education </t>
  </si>
  <si>
    <t>LEFT</t>
  </si>
  <si>
    <t>Extracts text from left</t>
  </si>
  <si>
    <t>=LEFT(text, num_chars)</t>
  </si>
  <si>
    <r>
      <t xml:space="preserve">Extracts given number of characters </t>
    </r>
    <r>
      <rPr>
        <b/>
        <sz val="11"/>
        <color theme="1"/>
        <rFont val="Aptos Narrow"/>
        <family val="2"/>
        <scheme val="minor"/>
      </rPr>
      <t>from the left side</t>
    </r>
  </si>
  <si>
    <t>upgrad Pune</t>
  </si>
  <si>
    <t>RIGHT</t>
  </si>
  <si>
    <t>Extracts text from right</t>
  </si>
  <si>
    <t>=RIGHT(text, num_chars)</t>
  </si>
  <si>
    <r>
      <t xml:space="preserve">Extracts given number of characters </t>
    </r>
    <r>
      <rPr>
        <b/>
        <sz val="11"/>
        <color theme="1"/>
        <rFont val="Aptos Narrow"/>
        <family val="2"/>
        <scheme val="minor"/>
      </rPr>
      <t>from the right side</t>
    </r>
  </si>
  <si>
    <t>pune maharashtra</t>
  </si>
  <si>
    <t>MID</t>
  </si>
  <si>
    <t>Extracts text from middle</t>
  </si>
  <si>
    <t>=MID(text,start_num,num_chars)</t>
  </si>
  <si>
    <r>
      <t xml:space="preserve">Extracts text </t>
    </r>
    <r>
      <rPr>
        <b/>
        <sz val="11"/>
        <color theme="1"/>
        <rFont val="Aptos Narrow"/>
        <family val="2"/>
        <scheme val="minor"/>
      </rPr>
      <t>from the middle</t>
    </r>
    <r>
      <rPr>
        <sz val="11"/>
        <color theme="1"/>
        <rFont val="Aptos Narrow"/>
        <family val="2"/>
        <scheme val="minor"/>
      </rPr>
      <t>, based on position</t>
    </r>
  </si>
  <si>
    <t>upgrad pune centre</t>
  </si>
  <si>
    <t>TRIM</t>
  </si>
  <si>
    <t>Removes extra spaces</t>
  </si>
  <si>
    <t>=TRIM(text)</t>
  </si>
  <si>
    <r>
      <t xml:space="preserve">Removes </t>
    </r>
    <r>
      <rPr>
        <b/>
        <sz val="11"/>
        <color theme="1"/>
        <rFont val="Aptos Narrow"/>
        <family val="2"/>
        <scheme val="minor"/>
      </rPr>
      <t>extra spaces</t>
    </r>
    <r>
      <rPr>
        <sz val="11"/>
        <color theme="1"/>
        <rFont val="Aptos Narrow"/>
        <family val="2"/>
        <scheme val="minor"/>
      </rPr>
      <t xml:space="preserve"> except single space between words</t>
    </r>
  </si>
  <si>
    <t xml:space="preserve">upgrad   pune </t>
  </si>
  <si>
    <t>FIND</t>
  </si>
  <si>
    <t>Finds position (case-sensitive)</t>
  </si>
  <si>
    <t>=FIND(find_text,text)</t>
  </si>
  <si>
    <r>
      <t xml:space="preserve">Returns </t>
    </r>
    <r>
      <rPr>
        <b/>
        <sz val="11"/>
        <color theme="1"/>
        <rFont val="Aptos Narrow"/>
        <family val="2"/>
        <scheme val="minor"/>
      </rPr>
      <t>position number</t>
    </r>
    <r>
      <rPr>
        <sz val="11"/>
        <color theme="1"/>
        <rFont val="Aptos Narrow"/>
        <family val="2"/>
        <scheme val="minor"/>
      </rPr>
      <t>, case-sensitive</t>
    </r>
  </si>
  <si>
    <t>SEARCH</t>
  </si>
  <si>
    <t>Finds position (not case-sensitive)</t>
  </si>
  <si>
    <t>=SEARCH(find_text,text)</t>
  </si>
  <si>
    <r>
      <t xml:space="preserve">Returns position, </t>
    </r>
    <r>
      <rPr>
        <b/>
        <sz val="11"/>
        <color theme="1"/>
        <rFont val="Aptos Narrow"/>
        <family val="2"/>
        <scheme val="minor"/>
      </rPr>
      <t>ignores case</t>
    </r>
  </si>
  <si>
    <t>upgrad Pune centre</t>
  </si>
  <si>
    <t>CONCATENATE</t>
  </si>
  <si>
    <t>Joins text</t>
  </si>
  <si>
    <t>=CONCATENATE(text1,text2,…)</t>
  </si>
  <si>
    <r>
      <t xml:space="preserve">Old function to </t>
    </r>
    <r>
      <rPr>
        <b/>
        <sz val="11"/>
        <color theme="1"/>
        <rFont val="Aptos Narrow"/>
        <family val="2"/>
        <scheme val="minor"/>
      </rPr>
      <t>combine multiple texts</t>
    </r>
  </si>
  <si>
    <t>pune</t>
  </si>
  <si>
    <t>centre</t>
  </si>
  <si>
    <t>&amp;</t>
  </si>
  <si>
    <t>Joins text (operator)</t>
  </si>
  <si>
    <t>text1 &amp; text2</t>
  </si>
  <si>
    <r>
      <t xml:space="preserve">Fastest way to </t>
    </r>
    <r>
      <rPr>
        <b/>
        <sz val="11"/>
        <color theme="1"/>
        <rFont val="Aptos Narrow"/>
        <family val="2"/>
        <scheme val="minor"/>
      </rPr>
      <t>combine text values</t>
    </r>
  </si>
  <si>
    <t>CONCAT</t>
  </si>
  <si>
    <t>Modern join function</t>
  </si>
  <si>
    <t>=CONCAT(text1,text2,…)</t>
  </si>
  <si>
    <t>New replacement of CONCATENATE</t>
  </si>
  <si>
    <t>TEXTJOIN</t>
  </si>
  <si>
    <t>Joins text with delimiter</t>
  </si>
  <si>
    <t>=TEXTJOIN(delimiter,ignore_empty,text1,…)</t>
  </si>
  <si>
    <r>
      <t xml:space="preserve">Joins text </t>
    </r>
    <r>
      <rPr>
        <b/>
        <sz val="11"/>
        <color theme="1"/>
        <rFont val="Aptos Narrow"/>
        <family val="2"/>
        <scheme val="minor"/>
      </rPr>
      <t>with separator</t>
    </r>
    <r>
      <rPr>
        <sz val="11"/>
        <color theme="1"/>
        <rFont val="Aptos Narrow"/>
        <family val="2"/>
        <scheme val="minor"/>
      </rPr>
      <t xml:space="preserve"> and ignores blanks</t>
    </r>
  </si>
  <si>
    <t>ISNUMBER</t>
  </si>
  <si>
    <t>Checks numeric value</t>
  </si>
  <si>
    <t>=ISNUMBER(value)</t>
  </si>
  <si>
    <r>
      <t xml:space="preserve">Returns TRUE if value is a </t>
    </r>
    <r>
      <rPr>
        <b/>
        <sz val="11"/>
        <color theme="1"/>
        <rFont val="Aptos Narrow"/>
        <family val="2"/>
        <scheme val="minor"/>
      </rPr>
      <t>number</t>
    </r>
  </si>
  <si>
    <t>12345A</t>
  </si>
  <si>
    <t>TEXT</t>
  </si>
  <si>
    <t>Formats value as text</t>
  </si>
  <si>
    <t>=TEXT(value,format_text)</t>
  </si>
  <si>
    <r>
      <t xml:space="preserve">Converts number/date into </t>
    </r>
    <r>
      <rPr>
        <b/>
        <sz val="11"/>
        <color theme="1"/>
        <rFont val="Aptos Narrow"/>
        <family val="2"/>
        <scheme val="minor"/>
      </rPr>
      <t>formatted text</t>
    </r>
  </si>
  <si>
    <t>REPLACE</t>
  </si>
  <si>
    <t>Replaces by position</t>
  </si>
  <si>
    <t>=REPLACE(old_text,start_num,num_chars,new_text)</t>
  </si>
  <si>
    <r>
      <t xml:space="preserve">Replaces text based on </t>
    </r>
    <r>
      <rPr>
        <b/>
        <sz val="11"/>
        <color theme="1"/>
        <rFont val="Aptos Narrow"/>
        <family val="2"/>
        <scheme val="minor"/>
      </rPr>
      <t>fixed position</t>
    </r>
  </si>
  <si>
    <t>EMP12345</t>
  </si>
  <si>
    <t>SUBSTITUTE</t>
  </si>
  <si>
    <t>Replaces by value</t>
  </si>
  <si>
    <t>=SUBSTITUTE(text,old_text,new_text)</t>
  </si>
  <si>
    <r>
      <t xml:space="preserve">Replaces </t>
    </r>
    <r>
      <rPr>
        <b/>
        <sz val="11"/>
        <color theme="1"/>
        <rFont val="Aptos Narrow"/>
        <family val="2"/>
        <scheme val="minor"/>
      </rPr>
      <t>specific characters or words</t>
    </r>
  </si>
  <si>
    <t>upgrad@com</t>
  </si>
  <si>
    <t>LEFT / RIGHT / MID → Extract</t>
  </si>
  <si>
    <t>TRIM / PROPER / LOWER / UPPER → Clean &amp; Format</t>
  </si>
  <si>
    <t>FIND / SEARCH → Locate</t>
  </si>
  <si>
    <t>TEXTJOIN / CONCAT / &amp; → Combine</t>
  </si>
  <si>
    <t>REPLACE / SUBSTITUTE → Modify</t>
  </si>
  <si>
    <r>
      <t>TEXTJOIN is better than CONCAT</t>
    </r>
    <r>
      <rPr>
        <sz val="11"/>
        <color theme="1"/>
        <rFont val="Aptos Narrow"/>
        <family val="2"/>
        <scheme val="minor"/>
      </rPr>
      <t xml:space="preserve"> because it ignores blanks</t>
    </r>
  </si>
  <si>
    <r>
      <t>SUBSTITUTE replaces by value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REPLACE replaces by position</t>
    </r>
  </si>
  <si>
    <r>
      <t>RIGHT doesn’t work on real dates</t>
    </r>
    <r>
      <rPr>
        <sz val="11"/>
        <color theme="1"/>
        <rFont val="Aptos Narrow"/>
        <family val="2"/>
        <scheme val="minor"/>
      </rPr>
      <t xml:space="preserve"> unless converted to text</t>
    </r>
  </si>
  <si>
    <t>Question</t>
  </si>
  <si>
    <t>Text</t>
  </si>
  <si>
    <t>Expected Output</t>
  </si>
  <si>
    <t xml:space="preserve">Remove Extra Spaces </t>
  </si>
  <si>
    <t>Rahul   Sharma</t>
  </si>
  <si>
    <t>Rahul Sharma</t>
  </si>
  <si>
    <t>First letter capital</t>
  </si>
  <si>
    <t>rahul SHARMA</t>
  </si>
  <si>
    <t>Count number of characters</t>
  </si>
  <si>
    <t>ABCDE12345</t>
  </si>
  <si>
    <t>Mobile Number Check:
Show “Valid” if length = 10
Else show “Invalid”</t>
  </si>
  <si>
    <t>Invalid</t>
  </si>
  <si>
    <r>
      <t xml:space="preserve">Extract </t>
    </r>
    <r>
      <rPr>
        <b/>
        <sz val="11"/>
        <color theme="1"/>
        <rFont val="Aptos Narrow"/>
        <family val="2"/>
        <scheme val="minor"/>
      </rPr>
      <t>First Name</t>
    </r>
  </si>
  <si>
    <t>Rahul</t>
  </si>
  <si>
    <r>
      <t xml:space="preserve">Extract </t>
    </r>
    <r>
      <rPr>
        <b/>
        <sz val="11"/>
        <color theme="1"/>
        <rFont val="Aptos Narrow"/>
        <family val="2"/>
        <scheme val="minor"/>
      </rPr>
      <t>Last Name</t>
    </r>
  </si>
  <si>
    <t>Sharma</t>
  </si>
  <si>
    <r>
      <t xml:space="preserve">Extract </t>
    </r>
    <r>
      <rPr>
        <b/>
        <sz val="11"/>
        <color theme="1"/>
        <rFont val="Aptos Narrow"/>
        <family val="2"/>
        <scheme val="minor"/>
      </rPr>
      <t>year only</t>
    </r>
  </si>
  <si>
    <t>Email Validation:
If @ exists → Valid
Else → Invalid</t>
  </si>
  <si>
    <t>rahulgmail.com</t>
  </si>
  <si>
    <t>Extract Domain Name:
Extract text after @</t>
  </si>
  <si>
    <t>rahul@yahoo.com</t>
  </si>
  <si>
    <t>yahoo.com</t>
  </si>
  <si>
    <t xml:space="preserve">Create Email ID:
</t>
  </si>
  <si>
    <t xml:space="preserve">   Rahul
</t>
  </si>
  <si>
    <t>infosys</t>
  </si>
  <si>
    <t>rahulsharma@infosys.com</t>
  </si>
  <si>
    <t>Full Address Creation</t>
  </si>
  <si>
    <t>Flat</t>
  </si>
  <si>
    <t>Area</t>
  </si>
  <si>
    <t>City</t>
  </si>
  <si>
    <t>State</t>
  </si>
  <si>
    <t>12, MG Road, Pune, Park Street, Kolkata, WB</t>
  </si>
  <si>
    <t>MG Road</t>
  </si>
  <si>
    <t>Pune</t>
  </si>
  <si>
    <t>MH</t>
  </si>
  <si>
    <t>Park Street</t>
  </si>
  <si>
    <t>Kolkata</t>
  </si>
  <si>
    <t>WB</t>
  </si>
  <si>
    <t>Mask Aadhaar Number:</t>
  </si>
  <si>
    <t>XXXXXXXX7098</t>
  </si>
  <si>
    <t>Remove Hyphens:</t>
  </si>
  <si>
    <t>AB-123-CD</t>
  </si>
  <si>
    <t>AB123CD</t>
  </si>
  <si>
    <t>Customer Data Cleaning</t>
  </si>
  <si>
    <t xml:space="preserve">  rAHUL   sHARMA  </t>
  </si>
  <si>
    <t>Smart Email Generator</t>
  </si>
  <si>
    <t>Name</t>
  </si>
  <si>
    <t>Company</t>
  </si>
  <si>
    <t>Vishal.kambale@upGrad.com</t>
  </si>
  <si>
    <t>Vishal.Kambale</t>
  </si>
  <si>
    <t>upGrad</t>
  </si>
  <si>
    <t>V!i@s#h$a%l</t>
  </si>
  <si>
    <t>Vishal</t>
  </si>
  <si>
    <t>EMP-2024/001</t>
  </si>
  <si>
    <t>EMP2024001</t>
  </si>
  <si>
    <t>OrderID45A
Detect no in text if yes return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</si>
</sst>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indent="1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quotePrefix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4" xfId="0" quotePrefix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quotePrefix="1" applyNumberFormat="1"/>
    <xf numFmtId="0" fontId="0" fillId="0" borderId="8" xfId="0" quotePrefix="1" applyBorder="1"/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top"/>
    </xf>
    <xf numFmtId="0" fontId="1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gmail@.com" TargetMode="External"/><Relationship Id="rId2" Type="http://schemas.openxmlformats.org/officeDocument/2006/relationships/hyperlink" Target="mailto:Vishal.kambale@upGrad.com" TargetMode="External"/><Relationship Id="rId1" Type="http://schemas.openxmlformats.org/officeDocument/2006/relationships/hyperlink" Target="mailto:rahulsharma@inf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BEF2-10B4-45D8-BB19-313969E65B60}">
  <dimension ref="C1:N50"/>
  <sheetViews>
    <sheetView tabSelected="1" topLeftCell="B34" zoomScale="86" zoomScaleNormal="86" workbookViewId="0">
      <selection activeCell="D53" sqref="D53"/>
    </sheetView>
  </sheetViews>
  <sheetFormatPr defaultRowHeight="15" customHeight="1" x14ac:dyDescent="0.35"/>
  <cols>
    <col min="3" max="3" width="14.7265625" bestFit="1" customWidth="1"/>
    <col min="4" max="4" width="31" bestFit="1" customWidth="1"/>
    <col min="5" max="5" width="47" bestFit="1" customWidth="1"/>
    <col min="6" max="6" width="66" bestFit="1" customWidth="1"/>
    <col min="7" max="7" width="29.81640625" bestFit="1" customWidth="1"/>
    <col min="8" max="8" width="18" bestFit="1" customWidth="1"/>
    <col min="9" max="9" width="28.54296875" customWidth="1"/>
  </cols>
  <sheetData>
    <row r="1" spans="3:14" ht="14.5" x14ac:dyDescent="0.35"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3:14" ht="14.5" x14ac:dyDescent="0.35">
      <c r="C2" s="29" t="s">
        <v>6</v>
      </c>
      <c r="D2" s="18" t="s">
        <v>7</v>
      </c>
      <c r="E2" s="19" t="s">
        <v>8</v>
      </c>
      <c r="F2" s="18" t="s">
        <v>9</v>
      </c>
      <c r="G2" s="19" t="s">
        <v>10</v>
      </c>
      <c r="H2" s="20" t="str">
        <f>PROPER(G2)</f>
        <v>Upgrad</v>
      </c>
      <c r="I2" t="str">
        <f>PROPER(G2)</f>
        <v>Upgrad</v>
      </c>
    </row>
    <row r="3" spans="3:14" ht="14.5" x14ac:dyDescent="0.35">
      <c r="C3" s="27"/>
      <c r="H3" s="21"/>
      <c r="N3" t="s">
        <v>11</v>
      </c>
    </row>
    <row r="4" spans="3:14" ht="14.5" x14ac:dyDescent="0.35">
      <c r="C4" s="28" t="s">
        <v>12</v>
      </c>
      <c r="D4" t="s">
        <v>13</v>
      </c>
      <c r="E4" s="15" t="s">
        <v>14</v>
      </c>
      <c r="F4" t="s">
        <v>15</v>
      </c>
      <c r="G4" s="15" t="s">
        <v>16</v>
      </c>
      <c r="H4" s="21" t="str">
        <f>LOWER(G4)</f>
        <v>upgrad</v>
      </c>
      <c r="I4" t="str">
        <f>LOWER(G4)</f>
        <v>upgrad</v>
      </c>
    </row>
    <row r="5" spans="3:14" ht="14.5" x14ac:dyDescent="0.35">
      <c r="C5" s="27"/>
      <c r="H5" s="21"/>
    </row>
    <row r="6" spans="3:14" ht="14.5" x14ac:dyDescent="0.35">
      <c r="C6" s="28" t="s">
        <v>17</v>
      </c>
      <c r="D6" t="s">
        <v>18</v>
      </c>
      <c r="E6" s="15" t="s">
        <v>19</v>
      </c>
      <c r="F6" t="s">
        <v>20</v>
      </c>
      <c r="G6" s="15" t="s">
        <v>21</v>
      </c>
      <c r="H6" s="21" t="str">
        <f>UPPER(G6)</f>
        <v>TCS</v>
      </c>
      <c r="I6" t="str">
        <f>UPPER(G6)</f>
        <v>TCS</v>
      </c>
    </row>
    <row r="7" spans="3:14" ht="14.5" x14ac:dyDescent="0.35">
      <c r="C7" s="27"/>
      <c r="H7" s="21"/>
    </row>
    <row r="8" spans="3:14" ht="14.5" x14ac:dyDescent="0.35">
      <c r="C8" s="28" t="s">
        <v>22</v>
      </c>
      <c r="D8" t="s">
        <v>23</v>
      </c>
      <c r="E8" s="15" t="s">
        <v>24</v>
      </c>
      <c r="F8" t="s">
        <v>25</v>
      </c>
      <c r="G8" s="15" t="s">
        <v>26</v>
      </c>
      <c r="H8" s="21">
        <f>LEN(G8)</f>
        <v>11</v>
      </c>
      <c r="I8">
        <f>LEN(G8)</f>
        <v>11</v>
      </c>
    </row>
    <row r="9" spans="3:14" ht="14.5" x14ac:dyDescent="0.35">
      <c r="C9" s="27"/>
      <c r="H9" s="21"/>
    </row>
    <row r="10" spans="3:14" ht="14.5" x14ac:dyDescent="0.35">
      <c r="C10" s="26" t="s">
        <v>27</v>
      </c>
      <c r="D10" s="18" t="s">
        <v>28</v>
      </c>
      <c r="E10" s="19" t="s">
        <v>29</v>
      </c>
      <c r="F10" s="18" t="s">
        <v>30</v>
      </c>
      <c r="G10" s="19" t="s">
        <v>31</v>
      </c>
      <c r="H10" s="20" t="str">
        <f>LEFT(G10,H18)</f>
        <v>upgrad P</v>
      </c>
      <c r="I10" t="str">
        <f>LEFT(G10,6)</f>
        <v>upgrad</v>
      </c>
    </row>
    <row r="11" spans="3:14" ht="14.5" x14ac:dyDescent="0.35">
      <c r="C11" s="27"/>
      <c r="H11" s="21"/>
    </row>
    <row r="12" spans="3:14" ht="14.5" x14ac:dyDescent="0.35">
      <c r="C12" s="28" t="s">
        <v>32</v>
      </c>
      <c r="D12" t="s">
        <v>33</v>
      </c>
      <c r="E12" s="15" t="s">
        <v>34</v>
      </c>
      <c r="F12" t="s">
        <v>35</v>
      </c>
      <c r="G12" s="15" t="s">
        <v>31</v>
      </c>
      <c r="H12" s="21" t="str">
        <f>RIGHT(G12,LEN(G12)-H18)</f>
        <v>une</v>
      </c>
      <c r="I12" t="str">
        <f>RIGHT(G12,LEN(G12)-J12)</f>
        <v>Pune</v>
      </c>
      <c r="J12">
        <f>FIND(" ",G12,1)</f>
        <v>7</v>
      </c>
    </row>
    <row r="13" spans="3:14" ht="14.5" x14ac:dyDescent="0.35">
      <c r="C13" s="27"/>
      <c r="G13" t="s">
        <v>36</v>
      </c>
      <c r="H13" s="21"/>
      <c r="I13" t="str">
        <f>RIGHT(G13,LEN(G13)-J13)</f>
        <v>maharashtra</v>
      </c>
      <c r="J13">
        <f>FIND(" ",G13,1)</f>
        <v>5</v>
      </c>
    </row>
    <row r="14" spans="3:14" ht="15" customHeight="1" x14ac:dyDescent="0.35">
      <c r="C14" s="28" t="s">
        <v>37</v>
      </c>
      <c r="D14" t="s">
        <v>38</v>
      </c>
      <c r="E14" s="15" t="s">
        <v>39</v>
      </c>
      <c r="F14" t="s">
        <v>40</v>
      </c>
      <c r="G14" s="15" t="s">
        <v>41</v>
      </c>
      <c r="H14" s="21" t="str">
        <f>MID(G14,H18,5)</f>
        <v xml:space="preserve">pune </v>
      </c>
    </row>
    <row r="15" spans="3:14" ht="15" customHeight="1" x14ac:dyDescent="0.35">
      <c r="C15" s="27"/>
      <c r="H15" s="21"/>
    </row>
    <row r="16" spans="3:14" ht="15" customHeight="1" x14ac:dyDescent="0.35">
      <c r="C16" s="26" t="s">
        <v>42</v>
      </c>
      <c r="D16" s="18" t="s">
        <v>43</v>
      </c>
      <c r="E16" s="19" t="s">
        <v>44</v>
      </c>
      <c r="F16" s="18" t="s">
        <v>45</v>
      </c>
      <c r="G16" s="19" t="s">
        <v>46</v>
      </c>
      <c r="H16" s="20" t="str">
        <f>TRIM(G16)</f>
        <v>upgrad pune</v>
      </c>
    </row>
    <row r="17" spans="3:9" ht="15" customHeight="1" x14ac:dyDescent="0.35">
      <c r="C17" s="27"/>
      <c r="H17" s="21"/>
    </row>
    <row r="18" spans="3:9" ht="15" customHeight="1" x14ac:dyDescent="0.35">
      <c r="C18" s="28" t="s">
        <v>47</v>
      </c>
      <c r="D18" t="s">
        <v>48</v>
      </c>
      <c r="E18" s="15" t="s">
        <v>49</v>
      </c>
      <c r="F18" t="s">
        <v>50</v>
      </c>
      <c r="G18" s="15" t="s">
        <v>31</v>
      </c>
      <c r="H18" s="21">
        <f>FIND("P",G18,1)</f>
        <v>8</v>
      </c>
      <c r="I18">
        <f>FIND(" ",G18,1)</f>
        <v>7</v>
      </c>
    </row>
    <row r="19" spans="3:9" ht="15" customHeight="1" x14ac:dyDescent="0.35">
      <c r="C19" s="27"/>
      <c r="H19" s="21"/>
    </row>
    <row r="20" spans="3:9" ht="15" customHeight="1" x14ac:dyDescent="0.35">
      <c r="C20" s="28" t="s">
        <v>51</v>
      </c>
      <c r="D20" t="s">
        <v>52</v>
      </c>
      <c r="E20" s="15" t="s">
        <v>53</v>
      </c>
      <c r="F20" t="s">
        <v>54</v>
      </c>
      <c r="G20" s="15" t="s">
        <v>55</v>
      </c>
      <c r="H20" s="21">
        <f>FIND("P",G20,1)</f>
        <v>8</v>
      </c>
    </row>
    <row r="21" spans="3:9" ht="15" customHeight="1" x14ac:dyDescent="0.35">
      <c r="C21" s="27"/>
      <c r="H21" s="21"/>
    </row>
    <row r="22" spans="3:9" ht="15" customHeight="1" x14ac:dyDescent="0.35">
      <c r="C22" s="26" t="s">
        <v>56</v>
      </c>
      <c r="D22" s="18" t="s">
        <v>57</v>
      </c>
      <c r="E22" s="19" t="s">
        <v>58</v>
      </c>
      <c r="F22" s="18" t="s">
        <v>59</v>
      </c>
      <c r="G22" s="19" t="s">
        <v>10</v>
      </c>
      <c r="H22" s="20" t="str">
        <f>CONCATENATE(G22," ",G23," ",G24)</f>
        <v>upgrad pune centre</v>
      </c>
      <c r="I22" t="str">
        <f>CONCATENATE(G22," ",G23," ",G24)</f>
        <v>upgrad pune centre</v>
      </c>
    </row>
    <row r="23" spans="3:9" ht="15" customHeight="1" x14ac:dyDescent="0.35">
      <c r="C23" s="27"/>
      <c r="G23" t="s">
        <v>60</v>
      </c>
      <c r="H23" s="21"/>
    </row>
    <row r="24" spans="3:9" ht="15" customHeight="1" x14ac:dyDescent="0.35">
      <c r="C24" s="27"/>
      <c r="G24" t="s">
        <v>61</v>
      </c>
      <c r="H24" s="21"/>
    </row>
    <row r="25" spans="3:9" ht="15" customHeight="1" x14ac:dyDescent="0.35">
      <c r="C25" s="28" t="s">
        <v>62</v>
      </c>
      <c r="D25" t="s">
        <v>63</v>
      </c>
      <c r="E25" t="s">
        <v>64</v>
      </c>
      <c r="F25" t="s">
        <v>65</v>
      </c>
      <c r="G25" s="15" t="s">
        <v>10</v>
      </c>
      <c r="H25" s="21" t="str">
        <f>G25&amp;" "&amp;G26&amp;" "&amp;G27</f>
        <v>upgrad pune centre</v>
      </c>
      <c r="I25" t="str">
        <f>G25&amp;" "&amp;" "&amp;G26&amp;" "&amp;G27</f>
        <v>upgrad  pune centre</v>
      </c>
    </row>
    <row r="26" spans="3:9" ht="15" customHeight="1" x14ac:dyDescent="0.35">
      <c r="C26" s="27"/>
      <c r="G26" t="s">
        <v>60</v>
      </c>
      <c r="H26" s="21"/>
    </row>
    <row r="27" spans="3:9" ht="15" customHeight="1" x14ac:dyDescent="0.35">
      <c r="C27" s="27"/>
      <c r="G27" t="s">
        <v>61</v>
      </c>
      <c r="H27" s="21"/>
    </row>
    <row r="28" spans="3:9" ht="15" customHeight="1" x14ac:dyDescent="0.35">
      <c r="C28" s="28" t="s">
        <v>66</v>
      </c>
      <c r="D28" t="s">
        <v>67</v>
      </c>
      <c r="E28" s="15" t="s">
        <v>68</v>
      </c>
      <c r="F28" t="s">
        <v>69</v>
      </c>
      <c r="G28" s="15" t="s">
        <v>10</v>
      </c>
      <c r="H28" s="21" t="str">
        <f>_xlfn.CONCAT(G28," ",G29," ",G30)</f>
        <v>upgrad pune centre</v>
      </c>
      <c r="I28" t="str">
        <f>_xlfn.CONCAT(G28," ",G29," ",G30)</f>
        <v>upgrad pune centre</v>
      </c>
    </row>
    <row r="29" spans="3:9" ht="15" customHeight="1" x14ac:dyDescent="0.35">
      <c r="C29" s="27"/>
      <c r="G29" t="s">
        <v>60</v>
      </c>
      <c r="H29" s="21"/>
    </row>
    <row r="30" spans="3:9" ht="15" customHeight="1" x14ac:dyDescent="0.35">
      <c r="C30" s="27"/>
      <c r="G30" t="s">
        <v>61</v>
      </c>
      <c r="H30" s="21"/>
    </row>
    <row r="31" spans="3:9" ht="15" customHeight="1" x14ac:dyDescent="0.35">
      <c r="C31" s="28" t="s">
        <v>70</v>
      </c>
      <c r="D31" t="s">
        <v>71</v>
      </c>
      <c r="E31" s="15" t="s">
        <v>72</v>
      </c>
      <c r="F31" t="s">
        <v>73</v>
      </c>
      <c r="G31" s="15" t="s">
        <v>10</v>
      </c>
      <c r="H31" s="21" t="str">
        <f>_xlfn.TEXTJOIN(" ",TRUE,G31:G33)</f>
        <v>upgrad pune centre</v>
      </c>
      <c r="I31" t="str">
        <f>_xlfn.TEXTJOIN(",",TRUE,G31:G33)</f>
        <v>upgrad,pune,centre</v>
      </c>
    </row>
    <row r="32" spans="3:9" ht="15" customHeight="1" x14ac:dyDescent="0.35">
      <c r="C32" s="28"/>
      <c r="E32" s="15"/>
      <c r="G32" t="s">
        <v>60</v>
      </c>
      <c r="H32" s="21"/>
    </row>
    <row r="33" spans="3:8" ht="15" customHeight="1" x14ac:dyDescent="0.35">
      <c r="C33" s="27"/>
      <c r="G33" t="s">
        <v>61</v>
      </c>
      <c r="H33" s="21"/>
    </row>
    <row r="34" spans="3:8" ht="15" customHeight="1" x14ac:dyDescent="0.35">
      <c r="C34" s="26" t="s">
        <v>74</v>
      </c>
      <c r="D34" s="18" t="s">
        <v>75</v>
      </c>
      <c r="E34" s="19" t="s">
        <v>76</v>
      </c>
      <c r="F34" s="18" t="s">
        <v>77</v>
      </c>
      <c r="G34" s="19">
        <v>123456</v>
      </c>
      <c r="H34" s="20" t="b">
        <f>ISNUMBER(G34)</f>
        <v>1</v>
      </c>
    </row>
    <row r="35" spans="3:8" ht="15" customHeight="1" x14ac:dyDescent="0.35">
      <c r="C35" s="27"/>
      <c r="G35" t="s">
        <v>78</v>
      </c>
      <c r="H35" s="21" t="b">
        <f>ISNUMBER(G35)</f>
        <v>0</v>
      </c>
    </row>
    <row r="36" spans="3:8" ht="15" customHeight="1" x14ac:dyDescent="0.35">
      <c r="C36" s="28" t="s">
        <v>79</v>
      </c>
      <c r="D36" t="s">
        <v>80</v>
      </c>
      <c r="E36" s="15" t="s">
        <v>81</v>
      </c>
      <c r="F36" t="s">
        <v>82</v>
      </c>
      <c r="G36" s="24">
        <v>41249</v>
      </c>
      <c r="H36" s="21" t="str">
        <f>TEXT(G36,"dd")</f>
        <v>06</v>
      </c>
    </row>
    <row r="37" spans="3:8" ht="15" customHeight="1" x14ac:dyDescent="0.35">
      <c r="C37" s="27"/>
      <c r="G37" s="24"/>
      <c r="H37" s="21" t="str">
        <f>TEXT(G36,"mmmm")</f>
        <v>December</v>
      </c>
    </row>
    <row r="38" spans="3:8" ht="15" customHeight="1" x14ac:dyDescent="0.35">
      <c r="C38" s="28" t="s">
        <v>83</v>
      </c>
      <c r="D38" t="s">
        <v>84</v>
      </c>
      <c r="E38" s="15" t="s">
        <v>85</v>
      </c>
      <c r="F38" t="s">
        <v>86</v>
      </c>
      <c r="G38" s="15" t="s">
        <v>87</v>
      </c>
      <c r="H38" s="21" t="str">
        <f>REPLACE(G38,4,5,"XXXXXX")</f>
        <v>EMPXXXXXX</v>
      </c>
    </row>
    <row r="39" spans="3:8" ht="15" customHeight="1" x14ac:dyDescent="0.35">
      <c r="C39" s="27"/>
      <c r="H39" s="21"/>
    </row>
    <row r="40" spans="3:8" ht="15" customHeight="1" x14ac:dyDescent="0.35">
      <c r="C40" s="30" t="s">
        <v>88</v>
      </c>
      <c r="D40" s="22" t="s">
        <v>89</v>
      </c>
      <c r="E40" s="25" t="s">
        <v>90</v>
      </c>
      <c r="F40" s="22" t="s">
        <v>91</v>
      </c>
      <c r="G40" s="22" t="s">
        <v>92</v>
      </c>
      <c r="H40" s="23" t="str">
        <f>SUBSTITUTE(G40,"upgrad","tcs")</f>
        <v>tcs@com</v>
      </c>
    </row>
    <row r="41" spans="3:8" ht="15" customHeight="1" x14ac:dyDescent="0.35">
      <c r="G41" s="15"/>
    </row>
    <row r="43" spans="3:8" ht="15" customHeight="1" x14ac:dyDescent="0.35">
      <c r="C43" s="16" t="s">
        <v>93</v>
      </c>
      <c r="D43" s="17"/>
    </row>
    <row r="44" spans="3:8" ht="15" customHeight="1" x14ac:dyDescent="0.35">
      <c r="C44" s="16" t="s">
        <v>94</v>
      </c>
      <c r="D44" s="17"/>
    </row>
    <row r="45" spans="3:8" ht="15" customHeight="1" x14ac:dyDescent="0.35">
      <c r="C45" s="16" t="s">
        <v>95</v>
      </c>
      <c r="D45" s="17"/>
    </row>
    <row r="46" spans="3:8" ht="15" customHeight="1" x14ac:dyDescent="0.35">
      <c r="C46" s="16" t="s">
        <v>96</v>
      </c>
      <c r="D46" s="17"/>
    </row>
    <row r="47" spans="3:8" ht="15" customHeight="1" x14ac:dyDescent="0.35">
      <c r="C47" s="16" t="s">
        <v>97</v>
      </c>
      <c r="D47" s="17"/>
    </row>
    <row r="48" spans="3:8" ht="15" customHeight="1" x14ac:dyDescent="0.35">
      <c r="C48" s="11" t="s">
        <v>98</v>
      </c>
    </row>
    <row r="49" spans="3:3" ht="15" customHeight="1" x14ac:dyDescent="0.35">
      <c r="C49" s="11" t="s">
        <v>99</v>
      </c>
    </row>
    <row r="50" spans="3:3" ht="15" customHeight="1" x14ac:dyDescent="0.35">
      <c r="C50" s="1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6AE1-F6E6-4510-80FB-0688F305040A}">
  <dimension ref="A1:I22"/>
  <sheetViews>
    <sheetView topLeftCell="A5" zoomScale="86" zoomScaleNormal="86" workbookViewId="0">
      <selection activeCell="H9" sqref="H9"/>
    </sheetView>
  </sheetViews>
  <sheetFormatPr defaultRowHeight="14.5" x14ac:dyDescent="0.35"/>
  <cols>
    <col min="2" max="2" width="23.7265625" bestFit="1" customWidth="1"/>
    <col min="3" max="3" width="29.453125" customWidth="1"/>
    <col min="4" max="4" width="9.81640625" customWidth="1"/>
    <col min="7" max="7" width="44.7265625" bestFit="1" customWidth="1"/>
    <col min="8" max="8" width="39.81640625" customWidth="1"/>
    <col min="9" max="9" width="14" customWidth="1"/>
  </cols>
  <sheetData>
    <row r="1" spans="1:8" x14ac:dyDescent="0.35">
      <c r="B1" s="12" t="s">
        <v>101</v>
      </c>
      <c r="C1" s="12" t="s">
        <v>102</v>
      </c>
      <c r="G1" s="12" t="s">
        <v>103</v>
      </c>
      <c r="H1" s="31" t="s">
        <v>5</v>
      </c>
    </row>
    <row r="2" spans="1:8" x14ac:dyDescent="0.35">
      <c r="A2" s="2">
        <v>1</v>
      </c>
      <c r="B2" t="s">
        <v>104</v>
      </c>
      <c r="C2" t="s">
        <v>105</v>
      </c>
      <c r="G2" s="13" t="s">
        <v>106</v>
      </c>
      <c r="H2" s="31" t="str">
        <f>TRIM(G2)</f>
        <v>Rahul Sharma</v>
      </c>
    </row>
    <row r="3" spans="1:8" x14ac:dyDescent="0.35">
      <c r="A3" s="2">
        <v>2</v>
      </c>
      <c r="B3" t="s">
        <v>107</v>
      </c>
      <c r="C3" t="s">
        <v>108</v>
      </c>
      <c r="G3" s="13" t="s">
        <v>106</v>
      </c>
      <c r="H3" s="31" t="str">
        <f>PROPER(Text_Functions_Practise!C3)</f>
        <v>Rahul Sharma</v>
      </c>
    </row>
    <row r="4" spans="1:8" x14ac:dyDescent="0.35">
      <c r="A4" s="2">
        <v>3</v>
      </c>
      <c r="B4" t="s">
        <v>109</v>
      </c>
      <c r="C4" t="s">
        <v>110</v>
      </c>
      <c r="G4" s="13">
        <v>10</v>
      </c>
      <c r="H4" s="31">
        <f>LEN(Text_Functions_Practise!C4)</f>
        <v>10</v>
      </c>
    </row>
    <row r="5" spans="1:8" ht="58" x14ac:dyDescent="0.35">
      <c r="A5" s="2">
        <v>4</v>
      </c>
      <c r="B5" s="1" t="s">
        <v>111</v>
      </c>
      <c r="C5">
        <v>987654321</v>
      </c>
      <c r="G5" s="13" t="s">
        <v>112</v>
      </c>
      <c r="H5" s="31" t="str">
        <f>IF(LEN(C5)=10,"Valid","Invalid")</f>
        <v>Invalid</v>
      </c>
    </row>
    <row r="6" spans="1:8" x14ac:dyDescent="0.35">
      <c r="A6" s="2">
        <v>5</v>
      </c>
      <c r="B6" t="s">
        <v>113</v>
      </c>
      <c r="C6" t="s">
        <v>106</v>
      </c>
      <c r="G6" s="13" t="s">
        <v>114</v>
      </c>
      <c r="H6" s="31" t="str">
        <f>LEFT(C6,6)</f>
        <v xml:space="preserve">Rahul </v>
      </c>
    </row>
    <row r="7" spans="1:8" x14ac:dyDescent="0.35">
      <c r="A7" s="2">
        <v>6</v>
      </c>
      <c r="B7" t="s">
        <v>115</v>
      </c>
      <c r="C7" t="s">
        <v>106</v>
      </c>
      <c r="G7" s="13" t="s">
        <v>116</v>
      </c>
      <c r="H7" s="31" t="str">
        <f>RIGHT(C7,12-6)</f>
        <v>Sharma</v>
      </c>
    </row>
    <row r="8" spans="1:8" x14ac:dyDescent="0.35">
      <c r="A8" s="2">
        <v>7</v>
      </c>
      <c r="B8" s="3" t="s">
        <v>117</v>
      </c>
      <c r="C8" s="4">
        <v>45519</v>
      </c>
      <c r="G8" s="13">
        <v>2024</v>
      </c>
      <c r="H8" s="31" t="str">
        <f>TEXT(C8,"YYYY")</f>
        <v>2024</v>
      </c>
    </row>
    <row r="9" spans="1:8" ht="58" x14ac:dyDescent="0.35">
      <c r="A9" s="2">
        <v>8</v>
      </c>
      <c r="B9" s="1" t="s">
        <v>118</v>
      </c>
      <c r="C9" s="33" t="s">
        <v>119</v>
      </c>
      <c r="G9" s="13" t="s">
        <v>112</v>
      </c>
      <c r="H9" s="31" t="str">
        <f>IF(ISNUMBER(FIND("@",C9)),"Valid","Invalid")</f>
        <v>Invalid</v>
      </c>
    </row>
    <row r="10" spans="1:8" ht="29" x14ac:dyDescent="0.35">
      <c r="A10" s="2">
        <v>9</v>
      </c>
      <c r="B10" s="1" t="s">
        <v>120</v>
      </c>
      <c r="C10" t="s">
        <v>121</v>
      </c>
      <c r="G10" s="13" t="s">
        <v>122</v>
      </c>
      <c r="H10" s="31" t="str">
        <f>RIGHT(C10,9)</f>
        <v>yahoo.com</v>
      </c>
    </row>
    <row r="11" spans="1:8" ht="29" x14ac:dyDescent="0.35">
      <c r="A11" s="5">
        <v>10</v>
      </c>
      <c r="B11" s="6" t="s">
        <v>123</v>
      </c>
      <c r="C11" s="7" t="s">
        <v>124</v>
      </c>
      <c r="D11" s="5" t="s">
        <v>116</v>
      </c>
      <c r="E11" s="7" t="s">
        <v>125</v>
      </c>
      <c r="G11" s="14" t="s">
        <v>126</v>
      </c>
      <c r="H11" s="31" t="str">
        <f>_xlfn.CONCAT(C11,D11,"@",E11,"com")</f>
        <v xml:space="preserve">   Rahul
Sharma@infosyscom</v>
      </c>
    </row>
    <row r="12" spans="1:8" x14ac:dyDescent="0.35">
      <c r="A12" s="37">
        <v>11</v>
      </c>
      <c r="B12" s="36" t="s">
        <v>127</v>
      </c>
      <c r="C12" s="9" t="s">
        <v>128</v>
      </c>
      <c r="D12" s="9" t="s">
        <v>129</v>
      </c>
      <c r="E12" s="9" t="s">
        <v>130</v>
      </c>
      <c r="F12" s="9" t="s">
        <v>131</v>
      </c>
      <c r="G12" s="40" t="s">
        <v>132</v>
      </c>
      <c r="H12" s="31" t="str">
        <f>_xlfn.CONCAT(C13,", ",D13,", ",E13,", ",D14,", ",E14,", ",F14)</f>
        <v>12, MG Road, Pune, Park Street, Kolkata, WB</v>
      </c>
    </row>
    <row r="13" spans="1:8" x14ac:dyDescent="0.35">
      <c r="A13" s="37"/>
      <c r="B13" s="36"/>
      <c r="C13" s="10">
        <v>12</v>
      </c>
      <c r="D13" s="10" t="s">
        <v>133</v>
      </c>
      <c r="E13" s="10" t="s">
        <v>134</v>
      </c>
      <c r="F13" s="10" t="s">
        <v>135</v>
      </c>
      <c r="G13" s="40"/>
      <c r="H13" s="31" t="str">
        <f>_xlfn.TEXTJOIN(", ",TRUE,C13,D13,E13,D14,E14,F14)</f>
        <v>12, MG Road, Pune, Park Street, Kolkata, WB</v>
      </c>
    </row>
    <row r="14" spans="1:8" x14ac:dyDescent="0.35">
      <c r="A14" s="37"/>
      <c r="B14" s="36"/>
      <c r="C14" s="10"/>
      <c r="D14" s="10" t="s">
        <v>136</v>
      </c>
      <c r="E14" s="10" t="s">
        <v>137</v>
      </c>
      <c r="F14" s="10" t="s">
        <v>138</v>
      </c>
      <c r="G14" s="40"/>
      <c r="H14" s="31"/>
    </row>
    <row r="15" spans="1:8" x14ac:dyDescent="0.35">
      <c r="A15" s="2">
        <v>12</v>
      </c>
      <c r="B15" s="1" t="s">
        <v>139</v>
      </c>
      <c r="C15" s="8">
        <v>859526727089</v>
      </c>
      <c r="G15" s="13" t="s">
        <v>140</v>
      </c>
      <c r="H15" s="31" t="str">
        <f>REPLACE(C15,1,8,"XXXXXXXX")</f>
        <v>XXXXXXXX7089</v>
      </c>
    </row>
    <row r="16" spans="1:8" x14ac:dyDescent="0.35">
      <c r="A16" s="2">
        <v>13</v>
      </c>
      <c r="B16" s="1" t="s">
        <v>141</v>
      </c>
      <c r="C16" t="s">
        <v>142</v>
      </c>
      <c r="G16" s="13" t="s">
        <v>143</v>
      </c>
      <c r="H16" s="31" t="str">
        <f>SUBSTITUTE(C16,"-","")</f>
        <v>AB123CD</v>
      </c>
    </row>
    <row r="17" spans="1:9" x14ac:dyDescent="0.35">
      <c r="A17" s="2">
        <v>14</v>
      </c>
      <c r="B17" s="1" t="s">
        <v>144</v>
      </c>
      <c r="C17" t="s">
        <v>145</v>
      </c>
      <c r="G17" s="13" t="s">
        <v>106</v>
      </c>
      <c r="H17" s="31" t="str">
        <f>PROPER(TRIM(C17))</f>
        <v>Rahul Sharma</v>
      </c>
    </row>
    <row r="18" spans="1:9" x14ac:dyDescent="0.35">
      <c r="A18" s="39">
        <v>15</v>
      </c>
      <c r="B18" s="38" t="s">
        <v>146</v>
      </c>
      <c r="C18" s="9" t="s">
        <v>147</v>
      </c>
      <c r="D18" s="9" t="s">
        <v>148</v>
      </c>
      <c r="G18" s="41" t="s">
        <v>149</v>
      </c>
      <c r="H18" s="32" t="str">
        <f>_xlfn.CONCAT(C19,"@",D19,".com")</f>
        <v>Vishal.Kambale@upGrad.com</v>
      </c>
    </row>
    <row r="19" spans="1:9" ht="28.9" customHeight="1" x14ac:dyDescent="0.35">
      <c r="A19" s="39"/>
      <c r="B19" s="38"/>
      <c r="C19" s="10" t="s">
        <v>150</v>
      </c>
      <c r="D19" s="10" t="s">
        <v>151</v>
      </c>
      <c r="G19" s="41"/>
      <c r="H19" s="31"/>
    </row>
    <row r="20" spans="1:9" x14ac:dyDescent="0.35">
      <c r="A20" s="34">
        <v>16</v>
      </c>
      <c r="B20" s="34" t="s">
        <v>152</v>
      </c>
      <c r="C20" s="34"/>
      <c r="D20" s="34"/>
      <c r="E20" s="34"/>
      <c r="F20" s="34"/>
      <c r="G20" s="34" t="s">
        <v>153</v>
      </c>
      <c r="H20" t="str">
        <f>SUBSTITUTE(SUBSTITUTE(SUBSTITUTE(SUBSTITUTE(SUBSTITUTE(B20,"!",""),"@",""),"#",""),"$",""),"%","")</f>
        <v>Vishal</v>
      </c>
    </row>
    <row r="21" spans="1:9" ht="43.5" x14ac:dyDescent="0.35">
      <c r="A21" s="34">
        <v>17</v>
      </c>
      <c r="B21" s="35" t="s">
        <v>156</v>
      </c>
      <c r="C21" s="34"/>
      <c r="D21" s="34"/>
      <c r="E21" s="34"/>
      <c r="F21" s="34"/>
      <c r="G21" s="34" t="b">
        <v>1</v>
      </c>
      <c r="H21" t="str">
        <f>IF(OR(ISNUMBER(SEARCH("0",B21)),ISNUMBER(SEARCH("1",B21)),ISNUMBER(SEARCH("2",B21)),ISNUMBER(SEARCH("3",B21)),ISNUMBER(SEARCH("4",B21)),ISNUMBER(SEARCH("5",B21)),ISNUMBER(SEARCH("6",B21)),ISNUMBER(SEARCH("7",B21)),ISNUMBER(SEARCH("8",B21)),ISNUMBER(SEARCH("9",B21))),"TRUE","FALSE")</f>
        <v>TRUE</v>
      </c>
      <c r="I21" t="b" cm="1">
        <f t="array" ref="I21">COUNT(SEARCH({0,1,2,3,4,5,6,7,8,9},B21))&gt;0</f>
        <v>1</v>
      </c>
    </row>
    <row r="22" spans="1:9" x14ac:dyDescent="0.35">
      <c r="A22" s="34">
        <v>18</v>
      </c>
      <c r="B22" s="34" t="s">
        <v>154</v>
      </c>
      <c r="C22" s="34"/>
      <c r="D22" s="34"/>
      <c r="E22" s="34"/>
      <c r="F22" s="34"/>
      <c r="G22" s="34" t="s">
        <v>155</v>
      </c>
      <c r="H22" t="str">
        <f>SUBSTITUTE(SUBSTITUTE(B22,"-",""),"/","")</f>
        <v>EMP2024001</v>
      </c>
    </row>
  </sheetData>
  <mergeCells count="6">
    <mergeCell ref="B12:B14"/>
    <mergeCell ref="A12:A14"/>
    <mergeCell ref="B18:B19"/>
    <mergeCell ref="A18:A19"/>
    <mergeCell ref="G12:G14"/>
    <mergeCell ref="G18:G19"/>
  </mergeCells>
  <hyperlinks>
    <hyperlink ref="G11" r:id="rId1" xr:uid="{A5D2AC03-94C4-48E8-BCF6-449987B7EF19}"/>
    <hyperlink ref="G18" r:id="rId2" xr:uid="{272DA4BB-FF30-4321-B512-AAD1B2D4B3FE}"/>
    <hyperlink ref="C9" r:id="rId3" display="rahulgmail@.com" xr:uid="{3AEE1086-E3C2-44D0-962C-0189BB5B2D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</vt:lpstr>
      <vt:lpstr>Text_Functions_Practise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Kambale</dc:creator>
  <cp:keywords/>
  <dc:description/>
  <cp:lastModifiedBy>MANOJ DHAGE</cp:lastModifiedBy>
  <cp:revision/>
  <dcterms:created xsi:type="dcterms:W3CDTF">2026-01-29T17:27:23Z</dcterms:created>
  <dcterms:modified xsi:type="dcterms:W3CDTF">2026-02-03T06:26:49Z</dcterms:modified>
  <cp:category/>
  <cp:contentStatus/>
</cp:coreProperties>
</file>